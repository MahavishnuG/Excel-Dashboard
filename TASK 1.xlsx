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esktop\"/>
    </mc:Choice>
  </mc:AlternateContent>
  <xr:revisionPtr revIDLastSave="0" documentId="13_ncr:1_{D4CB046E-BE6A-4A9B-B15A-430DB0FF593F}" xr6:coauthVersionLast="47" xr6:coauthVersionMax="47" xr10:uidLastSave="{00000000-0000-0000-0000-000000000000}"/>
  <bookViews>
    <workbookView xWindow="-108" yWindow="-108" windowWidth="23256" windowHeight="12456" xr2:uid="{9293C381-147E-45E1-8093-848A8691DE2E}"/>
  </bookViews>
  <sheets>
    <sheet name="Sheet1" sheetId="1" r:id="rId1"/>
    <sheet name="Sheet2" sheetId="2" r:id="rId2"/>
    <sheet name="Sheet3" sheetId="4" r:id="rId3"/>
    <sheet name="Sheet4" sheetId="5" r:id="rId4"/>
    <sheet name="Sheet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20" i="5" l="1" a="1"/>
  <c r="AP20" i="5" s="1"/>
  <c r="AF31" i="5" a="1"/>
  <c r="AF31" i="5" s="1"/>
  <c r="AF17" i="5" a="1"/>
  <c r="AF17" i="5" s="1"/>
  <c r="Z34" i="5" a="1"/>
  <c r="Z34" i="5" s="1"/>
  <c r="Z23" i="5" a="1"/>
  <c r="Z23" i="5" s="1"/>
  <c r="Z17" i="5" a="1"/>
  <c r="Z17" i="5" s="1"/>
  <c r="S19" i="5" a="1"/>
  <c r="S19" i="5" s="1"/>
  <c r="L18" i="5" a="1"/>
  <c r="L18" i="5" s="1"/>
  <c r="F33" i="5" a="1"/>
  <c r="F33" i="5" s="1"/>
  <c r="E18" i="5" a="1"/>
  <c r="E18" i="5" s="1"/>
  <c r="A21" i="5"/>
  <c r="A17" i="5"/>
  <c r="F20" i="4"/>
  <c r="F21" i="4"/>
  <c r="F22" i="4"/>
  <c r="F23" i="4"/>
  <c r="F24" i="4"/>
  <c r="F25" i="4"/>
  <c r="F26" i="4"/>
  <c r="F27" i="4"/>
  <c r="F19" i="4"/>
  <c r="D20" i="4"/>
  <c r="D21" i="4"/>
  <c r="D22" i="4"/>
  <c r="D23" i="4"/>
  <c r="D24" i="4"/>
  <c r="D25" i="4"/>
  <c r="D26" i="4"/>
  <c r="D27" i="4"/>
  <c r="D19" i="4"/>
  <c r="I20" i="4"/>
  <c r="I21" i="4"/>
  <c r="I22" i="4"/>
  <c r="I23" i="4"/>
  <c r="I24" i="4"/>
  <c r="I25" i="4"/>
  <c r="I26" i="4"/>
  <c r="I27" i="4"/>
  <c r="I19" i="4"/>
  <c r="H20" i="4"/>
  <c r="H21" i="4"/>
  <c r="H22" i="4"/>
  <c r="H23" i="4"/>
  <c r="H24" i="4"/>
  <c r="H25" i="4"/>
  <c r="H26" i="4"/>
  <c r="H27" i="4"/>
  <c r="H19" i="4"/>
  <c r="E20" i="4"/>
  <c r="E21" i="4"/>
  <c r="E22" i="4"/>
  <c r="E23" i="4"/>
  <c r="E24" i="4"/>
  <c r="E25" i="4"/>
  <c r="E26" i="4"/>
  <c r="E27" i="4"/>
  <c r="E19" i="4"/>
  <c r="C23" i="4"/>
  <c r="C24" i="4"/>
  <c r="C25" i="4"/>
  <c r="C26" i="4"/>
  <c r="C27" i="4"/>
  <c r="C22" i="4"/>
  <c r="C28" i="4"/>
  <c r="B27" i="4"/>
  <c r="B20" i="4"/>
  <c r="B21" i="4"/>
  <c r="B22" i="4"/>
  <c r="B23" i="4"/>
  <c r="B24" i="4"/>
  <c r="B25" i="4"/>
  <c r="B26" i="4"/>
  <c r="B19" i="4"/>
  <c r="A20" i="4"/>
  <c r="A21" i="4"/>
  <c r="A22" i="4"/>
  <c r="A23" i="4"/>
  <c r="A24" i="4"/>
  <c r="A25" i="4"/>
  <c r="A26" i="4"/>
  <c r="A27" i="4"/>
  <c r="A19" i="4"/>
  <c r="A34" i="2"/>
  <c r="A35" i="2"/>
  <c r="A36" i="2"/>
  <c r="A37" i="2"/>
  <c r="A38" i="2"/>
  <c r="A39" i="2"/>
  <c r="A40" i="2"/>
  <c r="A32" i="2"/>
  <c r="A33" i="2"/>
  <c r="A31" i="2"/>
  <c r="A25" i="2"/>
  <c r="A23" i="2"/>
  <c r="A21" i="2"/>
  <c r="A19" i="2"/>
  <c r="A17" i="2"/>
  <c r="I6" i="1"/>
  <c r="I7" i="1"/>
  <c r="I8" i="1"/>
  <c r="I9" i="1"/>
  <c r="I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<sst xmlns="http://schemas.openxmlformats.org/spreadsheetml/2006/main" count="181" uniqueCount="147">
  <si>
    <t xml:space="preserve"> TRIP PLAN</t>
  </si>
  <si>
    <t>S.NO</t>
  </si>
  <si>
    <t>LOCATION</t>
  </si>
  <si>
    <t xml:space="preserve">FROM </t>
  </si>
  <si>
    <t>RETURN</t>
  </si>
  <si>
    <t>TRAVEL COST</t>
  </si>
  <si>
    <t>SPENT</t>
  </si>
  <si>
    <t>PURCHASE</t>
  </si>
  <si>
    <t>TOTAL AMT</t>
  </si>
  <si>
    <t>KERALA</t>
  </si>
  <si>
    <t>GOA</t>
  </si>
  <si>
    <t>DELHI</t>
  </si>
  <si>
    <t>KARNATAKA</t>
  </si>
  <si>
    <t>AUSTRALIA</t>
  </si>
  <si>
    <t>Product ID</t>
  </si>
  <si>
    <t>Q .sold</t>
  </si>
  <si>
    <t>unit Price</t>
  </si>
  <si>
    <t>Revenue</t>
  </si>
  <si>
    <t>Product name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</si>
  <si>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</si>
  <si>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</si>
  <si>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</si>
  <si>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</si>
  <si>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</si>
  <si>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</si>
  <si>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</si>
  <si>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</si>
  <si>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</si>
  <si>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</si>
  <si>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Lap</t>
  </si>
  <si>
    <t>Mouse</t>
  </si>
  <si>
    <t>keyboard</t>
  </si>
  <si>
    <t>Monitor</t>
  </si>
  <si>
    <t>USB cable</t>
  </si>
  <si>
    <t>Headphones</t>
  </si>
  <si>
    <t>Printer</t>
  </si>
  <si>
    <t>PenDrive 32GB</t>
  </si>
  <si>
    <t>Webcam</t>
  </si>
  <si>
    <t>Speakers</t>
  </si>
  <si>
    <t>1) Total Q.Sold</t>
  </si>
  <si>
    <t>2)Highest revenue Product(Max)</t>
  </si>
  <si>
    <t>3)Lowest Revenue Product(Min)</t>
  </si>
  <si>
    <t>4)How Many Products Were sold</t>
  </si>
  <si>
    <t xml:space="preserve">6)Bonus:Cal Revenue again using </t>
  </si>
  <si>
    <t>Formula=Q.sold*unit Price</t>
  </si>
  <si>
    <t>and verify with the Revenue column.</t>
  </si>
  <si>
    <t>5)Find Avg Revenue</t>
  </si>
  <si>
    <t>Revenue=</t>
  </si>
  <si>
    <t>Emp ID</t>
  </si>
  <si>
    <t>Ph Number</t>
  </si>
  <si>
    <t>Email</t>
  </si>
  <si>
    <t>Dept</t>
  </si>
  <si>
    <t>Status</t>
  </si>
  <si>
    <t xml:space="preserve">Emp Name </t>
  </si>
  <si>
    <t>join Date</t>
  </si>
  <si>
    <t>emp001</t>
  </si>
  <si>
    <t>EMP-002</t>
  </si>
  <si>
    <t>EMP003</t>
  </si>
  <si>
    <t>Emp004</t>
  </si>
  <si>
    <t>EMP 005</t>
  </si>
  <si>
    <t>EMP006</t>
  </si>
  <si>
    <t>emp007</t>
  </si>
  <si>
    <t>EMP008</t>
  </si>
  <si>
    <t>emp009</t>
  </si>
  <si>
    <t>EMP010</t>
  </si>
  <si>
    <t>Rahul Sharma</t>
  </si>
  <si>
    <t>Anita Singh</t>
  </si>
  <si>
    <t>David Mathews</t>
  </si>
  <si>
    <t>Sunil Kumar</t>
  </si>
  <si>
    <t>Priya R</t>
  </si>
  <si>
    <t>Aman Verma</t>
  </si>
  <si>
    <t>Maria Lopez</t>
  </si>
  <si>
    <t>John Paul</t>
  </si>
  <si>
    <t>Khushi Jain</t>
  </si>
  <si>
    <t xml:space="preserve">98765 43211  </t>
  </si>
  <si>
    <t>rahul.sharma@company.com</t>
  </si>
  <si>
    <t>anita.singh@company.com</t>
  </si>
  <si>
    <t>sunil.kumar@company.com</t>
  </si>
  <si>
    <t>priya.r@company.com</t>
  </si>
  <si>
    <t>aman.verma@company.com</t>
  </si>
  <si>
    <t>john.paul@company.com</t>
  </si>
  <si>
    <t>khushi.jain@company.com</t>
  </si>
  <si>
    <t>rohan.m@company.com</t>
  </si>
  <si>
    <t>Sales</t>
  </si>
  <si>
    <t>HR</t>
  </si>
  <si>
    <t>IT</t>
  </si>
  <si>
    <t>Finance</t>
  </si>
  <si>
    <t>Marketing</t>
  </si>
  <si>
    <t>Active</t>
  </si>
  <si>
    <t>Inactive</t>
  </si>
  <si>
    <t>1.Check if Emp ID Starts With 'EMP" using LEFT.</t>
  </si>
  <si>
    <t>2.Extract only First name from the Employee Name Coulmn.</t>
  </si>
  <si>
    <t>3.Extract only Last name from the Employee Name Coulmn.</t>
  </si>
  <si>
    <t>4.Use AND to validate if the Phone Number has Exactly 10 digits.</t>
  </si>
  <si>
    <t>5.Use ISBLANK to find employees with missing email IDs.</t>
  </si>
  <si>
    <t>6.Use OR to check if the email is invalid (missing"@"or blank).</t>
  </si>
  <si>
    <t>7.Use CONCAT to combine Employee Name and Employee ID into one Text.</t>
  </si>
  <si>
    <t>8.Use TEXTJOIN to create a single-line summary of Employee Name,ID and Dept</t>
  </si>
  <si>
    <t>Sharma</t>
  </si>
  <si>
    <t>Singh</t>
  </si>
  <si>
    <t>Mathews</t>
  </si>
  <si>
    <t xml:space="preserve">Emp ID </t>
  </si>
  <si>
    <t>Employee Name</t>
  </si>
  <si>
    <t>Department</t>
  </si>
  <si>
    <t xml:space="preserve">Salary </t>
  </si>
  <si>
    <t>Location</t>
  </si>
  <si>
    <t>Joining Year</t>
  </si>
  <si>
    <t>E001</t>
  </si>
  <si>
    <t>Delhi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</si>
  <si>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</si>
  <si>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</si>
  <si>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</si>
  <si>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</si>
  <si>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</si>
  <si>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</si>
  <si>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</si>
  <si>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</si>
  <si>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</si>
  <si>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Rohan Mehta</t>
  </si>
  <si>
    <t>Mumbai</t>
  </si>
  <si>
    <t>Bangalore</t>
  </si>
  <si>
    <t>Pune</t>
  </si>
  <si>
    <t>Chennai</t>
  </si>
  <si>
    <t>Hyderabad</t>
  </si>
  <si>
    <t>1.Salary Of Employee With Emp ID"E006"</t>
  </si>
  <si>
    <t>TASK 1</t>
  </si>
  <si>
    <t>INDEX +MATCH</t>
  </si>
  <si>
    <t>2.DEPT OF ""</t>
  </si>
  <si>
    <t>"JOHN PAUL" using Match +Index.</t>
  </si>
  <si>
    <t>TASK 2</t>
  </si>
  <si>
    <t>SORT/SORTBY</t>
  </si>
  <si>
    <t>1.SORT ENTIRE TABLE BY SALARY in Desc order</t>
  </si>
  <si>
    <t>2.Sort Employees Alphabetically by name</t>
  </si>
  <si>
    <t>3. Sort Employees By Dept(A-Z) and then Salary (Lowest to highest).</t>
  </si>
  <si>
    <t>4.Sort Employees by Joining Year(Oldest to Newest)</t>
  </si>
  <si>
    <t>TASK-3</t>
  </si>
  <si>
    <t>FILTER</t>
  </si>
  <si>
    <t>2.Filter Employees who earn more than 60,000</t>
  </si>
  <si>
    <t>3.Filter employees located in Delhi.</t>
  </si>
  <si>
    <t>TASK-4</t>
  </si>
  <si>
    <t>UNIQUE/SEQUENCE</t>
  </si>
  <si>
    <t>1.Return a list of unique Departments using Delhi</t>
  </si>
  <si>
    <t>2.Generate a Sequence of joining Years From 2018 to2023 using Sequence.</t>
  </si>
  <si>
    <t>TASK -5</t>
  </si>
  <si>
    <t>RANDARRAY</t>
  </si>
  <si>
    <t>1.Generate 10 Random salary values b/w 40,000 and 80,000 using Randarray.</t>
  </si>
  <si>
    <t>1.Filter only Employees Who work in the IT Depatment.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</si>
</sst>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49]\ #,##0.00"/>
    <numFmt numFmtId="165" formatCode="_ [$₹-449]\ * #,##0.00_ ;_ [$₹-449]\ * \-#,##0.00_ ;_ [$₹-449]\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rohan.m@company.com" TargetMode="External"/><Relationship Id="rId3" Type="http://schemas.openxmlformats.org/officeDocument/2006/relationships/hyperlink" Target="mailto:sunil.kumar@company.com" TargetMode="External"/><Relationship Id="rId7" Type="http://schemas.openxmlformats.org/officeDocument/2006/relationships/hyperlink" Target="mailto:khushi.jain@company.com" TargetMode="External"/><Relationship Id="rId2" Type="http://schemas.openxmlformats.org/officeDocument/2006/relationships/hyperlink" Target="mailto:anita.singh@company.com" TargetMode="External"/><Relationship Id="rId1" Type="http://schemas.openxmlformats.org/officeDocument/2006/relationships/hyperlink" Target="mailto:rahul.sharma@company.com" TargetMode="External"/><Relationship Id="rId6" Type="http://schemas.openxmlformats.org/officeDocument/2006/relationships/hyperlink" Target="mailto:john.paul@company.com" TargetMode="External"/><Relationship Id="rId5" Type="http://schemas.openxmlformats.org/officeDocument/2006/relationships/hyperlink" Target="mailto:aman.verma@company.com" TargetMode="External"/><Relationship Id="rId4" Type="http://schemas.openxmlformats.org/officeDocument/2006/relationships/hyperlink" Target="mailto:priya.r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21718-4E0B-4651-9035-EE8FD8FDD85B}">
  <sheetPr codeName="Sheet1"/>
  <dimension ref="B3:I9"/>
  <sheetViews>
    <sheetView tabSelected="1" workbookViewId="0">
      <selection activeCell="H15" sqref="H15"/>
    </sheetView>
  </sheetViews>
  <sheetFormatPr defaultRowHeight="14.4" x14ac:dyDescent="0.3"/>
  <cols>
    <col min="3" max="3" width="10.5546875" customWidth="1"/>
    <col min="4" max="4" width="9.88671875" bestFit="1" customWidth="1"/>
    <col min="6" max="6" width="11.77734375" customWidth="1"/>
    <col min="7" max="7" width="11.44140625" bestFit="1" customWidth="1"/>
    <col min="8" max="8" width="13.6640625" customWidth="1"/>
    <col min="9" max="9" width="11.44140625" bestFit="1" customWidth="1"/>
  </cols>
  <sheetData>
    <row r="3" spans="2:9" x14ac:dyDescent="0.3">
      <c r="F3" s="1" t="s">
        <v>0</v>
      </c>
    </row>
    <row r="4" spans="2:9" x14ac:dyDescent="0.3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2:9" x14ac:dyDescent="0.3">
      <c r="B5">
        <v>1</v>
      </c>
      <c r="C5" t="s">
        <v>9</v>
      </c>
      <c r="D5" s="2">
        <v>46420</v>
      </c>
      <c r="E5" s="2">
        <v>46438</v>
      </c>
      <c r="F5" s="3">
        <v>5000</v>
      </c>
      <c r="G5" s="3">
        <v>50000</v>
      </c>
      <c r="H5" s="3">
        <v>10000</v>
      </c>
      <c r="I5" s="3">
        <f>F5+G5+H5</f>
        <v>65000</v>
      </c>
    </row>
    <row r="6" spans="2:9" x14ac:dyDescent="0.3">
      <c r="B6">
        <v>2</v>
      </c>
      <c r="C6" t="s">
        <v>10</v>
      </c>
      <c r="D6" s="2">
        <v>46449</v>
      </c>
      <c r="E6" s="2">
        <v>46471</v>
      </c>
      <c r="F6" s="3">
        <v>8000</v>
      </c>
      <c r="G6" s="3">
        <v>100000</v>
      </c>
      <c r="H6" s="3">
        <v>20000</v>
      </c>
      <c r="I6" s="3">
        <f t="shared" ref="I6:I9" si="0">F6+G6+H6</f>
        <v>128000</v>
      </c>
    </row>
    <row r="7" spans="2:9" x14ac:dyDescent="0.3">
      <c r="B7">
        <v>3</v>
      </c>
      <c r="C7" t="s">
        <v>11</v>
      </c>
      <c r="D7" s="2">
        <v>46481</v>
      </c>
      <c r="E7" s="2">
        <v>46507</v>
      </c>
      <c r="F7" s="3">
        <v>15000</v>
      </c>
      <c r="G7" s="3">
        <v>70000</v>
      </c>
      <c r="H7" s="3">
        <v>25000</v>
      </c>
      <c r="I7" s="3">
        <f t="shared" si="0"/>
        <v>110000</v>
      </c>
    </row>
    <row r="8" spans="2:9" x14ac:dyDescent="0.3">
      <c r="B8">
        <v>4</v>
      </c>
      <c r="C8" t="s">
        <v>12</v>
      </c>
      <c r="D8" s="2">
        <v>46512</v>
      </c>
      <c r="E8" s="2">
        <v>46534</v>
      </c>
      <c r="F8" s="3">
        <v>10000</v>
      </c>
      <c r="G8" s="3">
        <v>50000</v>
      </c>
      <c r="H8" s="3">
        <v>35000</v>
      </c>
      <c r="I8" s="3">
        <f t="shared" si="0"/>
        <v>95000</v>
      </c>
    </row>
    <row r="9" spans="2:9" x14ac:dyDescent="0.3">
      <c r="B9">
        <v>5</v>
      </c>
      <c r="C9" t="s">
        <v>13</v>
      </c>
      <c r="D9" s="2">
        <v>46544</v>
      </c>
      <c r="E9" s="2">
        <v>46568</v>
      </c>
      <c r="F9" s="3">
        <v>70000</v>
      </c>
      <c r="G9" s="3">
        <v>200000</v>
      </c>
      <c r="H9" s="3">
        <v>350000</v>
      </c>
      <c r="I9" s="3">
        <f t="shared" si="0"/>
        <v>620000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9C957-48BC-4C67-8DB1-C3EABA7AA0AC}">
  <sheetPr codeName="Sheet2"/>
  <dimension ref="A1:F43"/>
  <sheetViews>
    <sheetView zoomScale="125" workbookViewId="0">
      <selection activeCell="C18" sqref="C18"/>
    </sheetView>
  </sheetViews>
  <sheetFormatPr defaultRowHeight="14.4" x14ac:dyDescent="0.3"/>
  <cols>
    <col min="1" max="1" width="31.21875" bestFit="1" customWidth="1"/>
    <col min="2" max="2" width="13.21875" bestFit="1" customWidth="1"/>
    <col min="3" max="3" width="6.77734375" bestFit="1" customWidth="1"/>
    <col min="4" max="4" width="11.77734375" bestFit="1" customWidth="1"/>
    <col min="5" max="5" width="12.77734375" bestFit="1" customWidth="1"/>
    <col min="6" max="6" width="2.6640625" bestFit="1" customWidth="1"/>
  </cols>
  <sheetData>
    <row r="1" spans="1:6" x14ac:dyDescent="0.3">
      <c r="A1" s="1" t="s">
        <v>14</v>
      </c>
      <c r="B1" s="1" t="s">
        <v>18</v>
      </c>
      <c r="C1" s="1" t="s">
        <v>15</v>
      </c>
      <c r="D1" s="1" t="s">
        <v>16</v>
      </c>
      <c r="E1" s="1" t="s">
        <v>17</v>
      </c>
      <c r="F1" s="1"/>
    </row>
    <row r="2" spans="1:6" x14ac:dyDescent="0.3">
      <c r="A2" t="s">
        <v>19</v>
      </c>
      <c r="B2" t="s">
        <v>29</v>
      </c>
      <c r="C2">
        <v>12</v>
      </c>
      <c r="D2" s="4">
        <v>52000</v>
      </c>
      <c r="E2" s="4">
        <v>624000</v>
      </c>
    </row>
    <row r="3" spans="1:6" x14ac:dyDescent="0.3">
      <c r="A3" t="s">
        <v>20</v>
      </c>
      <c r="B3" t="s">
        <v>30</v>
      </c>
      <c r="C3">
        <v>85</v>
      </c>
      <c r="D3" s="4">
        <v>450</v>
      </c>
      <c r="E3" s="4">
        <v>38250</v>
      </c>
    </row>
    <row r="4" spans="1:6" x14ac:dyDescent="0.3">
      <c r="A4" t="s">
        <v>21</v>
      </c>
      <c r="B4" t="s">
        <v>31</v>
      </c>
      <c r="C4">
        <v>56</v>
      </c>
      <c r="D4" s="4">
        <v>900</v>
      </c>
      <c r="E4" s="4">
        <v>50400</v>
      </c>
    </row>
    <row r="5" spans="1:6" x14ac:dyDescent="0.3">
      <c r="A5" t="s">
        <v>22</v>
      </c>
      <c r="B5" t="s">
        <v>32</v>
      </c>
      <c r="C5">
        <v>18</v>
      </c>
      <c r="D5" s="4">
        <v>9500</v>
      </c>
      <c r="E5" s="4">
        <v>171000</v>
      </c>
    </row>
    <row r="6" spans="1:6" x14ac:dyDescent="0.3">
      <c r="A6" t="s">
        <v>23</v>
      </c>
      <c r="B6" t="s">
        <v>33</v>
      </c>
      <c r="C6">
        <v>140</v>
      </c>
      <c r="D6" s="4">
        <v>120</v>
      </c>
      <c r="E6" s="4">
        <v>16800</v>
      </c>
    </row>
    <row r="7" spans="1:6" x14ac:dyDescent="0.3">
      <c r="A7" t="s">
        <v>24</v>
      </c>
      <c r="B7" t="s">
        <v>34</v>
      </c>
      <c r="C7">
        <v>32</v>
      </c>
      <c r="D7" s="4">
        <v>1500</v>
      </c>
      <c r="E7" s="4">
        <v>48000</v>
      </c>
    </row>
    <row r="8" spans="1:6" x14ac:dyDescent="0.3">
      <c r="A8" t="s">
        <v>25</v>
      </c>
      <c r="B8" t="s">
        <v>35</v>
      </c>
      <c r="C8">
        <v>7</v>
      </c>
      <c r="D8" s="4">
        <v>14500</v>
      </c>
      <c r="E8" s="4">
        <v>101500</v>
      </c>
    </row>
    <row r="9" spans="1:6" x14ac:dyDescent="0.3">
      <c r="A9" t="s">
        <v>26</v>
      </c>
      <c r="B9" t="s">
        <v>36</v>
      </c>
      <c r="C9">
        <v>63</v>
      </c>
      <c r="D9" s="4">
        <v>700</v>
      </c>
      <c r="E9" s="4">
        <v>44100</v>
      </c>
    </row>
    <row r="10" spans="1:6" x14ac:dyDescent="0.3">
      <c r="A10" t="s">
        <v>27</v>
      </c>
      <c r="B10" t="s">
        <v>37</v>
      </c>
      <c r="C10">
        <v>22</v>
      </c>
      <c r="D10" s="4">
        <v>2800</v>
      </c>
      <c r="E10" s="4">
        <v>61600</v>
      </c>
    </row>
    <row r="11" spans="1:6" x14ac:dyDescent="0.3">
      <c r="A11" t="s">
        <v>28</v>
      </c>
      <c r="B11" t="s">
        <v>38</v>
      </c>
      <c r="C11">
        <v>15</v>
      </c>
      <c r="D11" s="4">
        <v>2200</v>
      </c>
      <c r="E11" s="4">
        <v>33000</v>
      </c>
    </row>
    <row r="16" spans="1:6" x14ac:dyDescent="0.3">
      <c r="A16" t="s">
        <v>39</v>
      </c>
    </row>
    <row r="17" spans="1:1" x14ac:dyDescent="0.3">
      <c r="A17">
        <f>SUM(C2:C11)</f>
        <v>450</v>
      </c>
    </row>
    <row r="18" spans="1:1" x14ac:dyDescent="0.3">
      <c r="A18" t="s">
        <v>40</v>
      </c>
    </row>
    <row r="19" spans="1:1" x14ac:dyDescent="0.3">
      <c r="A19" s="4">
        <f>MAX(E2:E11)</f>
        <v>624000</v>
      </c>
    </row>
    <row r="20" spans="1:1" x14ac:dyDescent="0.3">
      <c r="A20" t="s">
        <v>41</v>
      </c>
    </row>
    <row r="21" spans="1:1" x14ac:dyDescent="0.3">
      <c r="A21" s="4">
        <f>MIN(E2:E11)</f>
        <v>16800</v>
      </c>
    </row>
    <row r="22" spans="1:1" x14ac:dyDescent="0.3">
      <c r="A22" t="s">
        <v>42</v>
      </c>
    </row>
    <row r="23" spans="1:1" x14ac:dyDescent="0.3">
      <c r="A23">
        <f>COUNTA(B2:B11)</f>
        <v>10</v>
      </c>
    </row>
    <row r="24" spans="1:1" x14ac:dyDescent="0.3">
      <c r="A24" t="s">
        <v>46</v>
      </c>
    </row>
    <row r="25" spans="1:1" x14ac:dyDescent="0.3">
      <c r="A25" s="4">
        <f>AVERAGE(E2:E10)</f>
        <v>128405.55555555556</v>
      </c>
    </row>
    <row r="26" spans="1:1" x14ac:dyDescent="0.3">
      <c r="A26" t="s">
        <v>43</v>
      </c>
    </row>
    <row r="27" spans="1:1" x14ac:dyDescent="0.3">
      <c r="A27" t="s">
        <v>44</v>
      </c>
    </row>
    <row r="28" spans="1:1" x14ac:dyDescent="0.3">
      <c r="A28" t="s">
        <v>45</v>
      </c>
    </row>
    <row r="30" spans="1:1" x14ac:dyDescent="0.3">
      <c r="A30" t="s">
        <v>47</v>
      </c>
    </row>
    <row r="31" spans="1:1" x14ac:dyDescent="0.3">
      <c r="A31" s="4">
        <f>C2*D2</f>
        <v>624000</v>
      </c>
    </row>
    <row r="32" spans="1:1" x14ac:dyDescent="0.3">
      <c r="A32" s="4">
        <f t="shared" ref="A32:A40" si="0">C3*D3</f>
        <v>38250</v>
      </c>
    </row>
    <row r="33" spans="1:1" x14ac:dyDescent="0.3">
      <c r="A33" s="4">
        <f t="shared" si="0"/>
        <v>50400</v>
      </c>
    </row>
    <row r="34" spans="1:1" x14ac:dyDescent="0.3">
      <c r="A34" s="4">
        <f t="shared" si="0"/>
        <v>171000</v>
      </c>
    </row>
    <row r="35" spans="1:1" x14ac:dyDescent="0.3">
      <c r="A35" s="4">
        <f t="shared" si="0"/>
        <v>16800</v>
      </c>
    </row>
    <row r="36" spans="1:1" x14ac:dyDescent="0.3">
      <c r="A36" s="4">
        <f t="shared" si="0"/>
        <v>48000</v>
      </c>
    </row>
    <row r="37" spans="1:1" x14ac:dyDescent="0.3">
      <c r="A37" s="4">
        <f t="shared" si="0"/>
        <v>101500</v>
      </c>
    </row>
    <row r="38" spans="1:1" x14ac:dyDescent="0.3">
      <c r="A38" s="4">
        <f t="shared" si="0"/>
        <v>44100</v>
      </c>
    </row>
    <row r="39" spans="1:1" x14ac:dyDescent="0.3">
      <c r="A39" s="4">
        <f t="shared" si="0"/>
        <v>61600</v>
      </c>
    </row>
    <row r="40" spans="1:1" x14ac:dyDescent="0.3">
      <c r="A40" s="4">
        <f t="shared" si="0"/>
        <v>33000</v>
      </c>
    </row>
    <row r="41" spans="1:1" x14ac:dyDescent="0.3">
      <c r="A41" s="4"/>
    </row>
    <row r="42" spans="1:1" x14ac:dyDescent="0.3">
      <c r="A42" s="4"/>
    </row>
    <row r="43" spans="1:1" x14ac:dyDescent="0.3">
      <c r="A43" s="4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DEFA-89CF-4359-8CEE-141EA6718D5E}">
  <sheetPr codeName="Sheet4"/>
  <dimension ref="A1:I28"/>
  <sheetViews>
    <sheetView topLeftCell="D1" zoomScale="106" workbookViewId="0">
      <selection activeCell="F21" sqref="F21"/>
    </sheetView>
  </sheetViews>
  <sheetFormatPr defaultRowHeight="14.4" x14ac:dyDescent="0.3"/>
  <cols>
    <col min="1" max="1" width="40.109375" bestFit="1" customWidth="1"/>
    <col min="2" max="2" width="50.77734375" bestFit="1" customWidth="1"/>
    <col min="3" max="3" width="50.6640625" bestFit="1" customWidth="1"/>
    <col min="4" max="4" width="54.44140625" bestFit="1" customWidth="1"/>
    <col min="5" max="5" width="47.77734375" bestFit="1" customWidth="1"/>
    <col min="6" max="6" width="51.77734375" bestFit="1" customWidth="1"/>
    <col min="7" max="7" width="7.44140625" bestFit="1" customWidth="1"/>
    <col min="8" max="8" width="63.88671875" bestFit="1" customWidth="1"/>
    <col min="9" max="9" width="67.33203125" bestFit="1" customWidth="1"/>
  </cols>
  <sheetData>
    <row r="1" spans="1:7" x14ac:dyDescent="0.3">
      <c r="A1" s="1" t="s">
        <v>48</v>
      </c>
      <c r="B1" s="1" t="s">
        <v>53</v>
      </c>
      <c r="C1" s="1" t="s">
        <v>49</v>
      </c>
      <c r="D1" s="1" t="s">
        <v>50</v>
      </c>
      <c r="E1" s="1" t="s">
        <v>51</v>
      </c>
      <c r="F1" s="1" t="s">
        <v>54</v>
      </c>
      <c r="G1" s="1" t="s">
        <v>52</v>
      </c>
    </row>
    <row r="2" spans="1:7" x14ac:dyDescent="0.3">
      <c r="A2" t="s">
        <v>55</v>
      </c>
      <c r="B2" t="s">
        <v>65</v>
      </c>
      <c r="C2">
        <v>9876543210</v>
      </c>
      <c r="D2" s="5" t="s">
        <v>75</v>
      </c>
      <c r="E2" t="s">
        <v>83</v>
      </c>
      <c r="F2" s="2">
        <v>44239</v>
      </c>
      <c r="G2" t="s">
        <v>88</v>
      </c>
    </row>
    <row r="3" spans="1:7" x14ac:dyDescent="0.3">
      <c r="A3" t="s">
        <v>56</v>
      </c>
      <c r="B3" t="s">
        <v>66</v>
      </c>
      <c r="C3" t="s">
        <v>74</v>
      </c>
      <c r="D3" s="5" t="s">
        <v>76</v>
      </c>
      <c r="E3" t="s">
        <v>84</v>
      </c>
      <c r="F3" s="2">
        <v>44140</v>
      </c>
      <c r="G3" t="s">
        <v>88</v>
      </c>
    </row>
    <row r="4" spans="1:7" x14ac:dyDescent="0.3">
      <c r="A4" t="s">
        <v>57</v>
      </c>
      <c r="B4" t="s">
        <v>67</v>
      </c>
      <c r="C4">
        <v>98765098756</v>
      </c>
      <c r="D4" s="5"/>
      <c r="E4" t="s">
        <v>85</v>
      </c>
      <c r="F4" s="2">
        <v>44030</v>
      </c>
    </row>
    <row r="5" spans="1:7" x14ac:dyDescent="0.3">
      <c r="A5" t="s">
        <v>58</v>
      </c>
      <c r="B5" t="s">
        <v>68</v>
      </c>
      <c r="D5" s="5" t="s">
        <v>77</v>
      </c>
      <c r="E5" t="s">
        <v>86</v>
      </c>
      <c r="F5" s="2">
        <v>43542</v>
      </c>
      <c r="G5" t="s">
        <v>89</v>
      </c>
    </row>
    <row r="6" spans="1:7" x14ac:dyDescent="0.3">
      <c r="A6" t="s">
        <v>59</v>
      </c>
      <c r="B6" t="s">
        <v>69</v>
      </c>
      <c r="C6">
        <v>9901234567</v>
      </c>
      <c r="D6" s="5" t="s">
        <v>78</v>
      </c>
      <c r="E6" t="s">
        <v>87</v>
      </c>
      <c r="F6" s="2">
        <v>44446</v>
      </c>
      <c r="G6" t="s">
        <v>88</v>
      </c>
    </row>
    <row r="7" spans="1:7" x14ac:dyDescent="0.3">
      <c r="A7" t="s">
        <v>60</v>
      </c>
      <c r="B7" t="s">
        <v>70</v>
      </c>
      <c r="C7">
        <v>991234567</v>
      </c>
      <c r="D7" s="5" t="s">
        <v>79</v>
      </c>
      <c r="E7" t="s">
        <v>85</v>
      </c>
      <c r="F7" s="2">
        <v>44848</v>
      </c>
      <c r="G7" t="s">
        <v>88</v>
      </c>
    </row>
    <row r="8" spans="1:7" x14ac:dyDescent="0.3">
      <c r="A8" t="s">
        <v>61</v>
      </c>
      <c r="B8" t="s">
        <v>71</v>
      </c>
      <c r="C8">
        <v>9876543210</v>
      </c>
      <c r="D8" s="5"/>
      <c r="E8" t="s">
        <v>83</v>
      </c>
      <c r="F8" s="2">
        <v>43831</v>
      </c>
      <c r="G8" t="s">
        <v>88</v>
      </c>
    </row>
    <row r="9" spans="1:7" x14ac:dyDescent="0.3">
      <c r="A9" t="s">
        <v>62</v>
      </c>
      <c r="B9" t="s">
        <v>72</v>
      </c>
      <c r="C9">
        <v>8899776655</v>
      </c>
      <c r="D9" s="5" t="s">
        <v>80</v>
      </c>
      <c r="E9" t="s">
        <v>85</v>
      </c>
      <c r="F9" s="2">
        <v>43445</v>
      </c>
      <c r="G9" t="s">
        <v>89</v>
      </c>
    </row>
    <row r="10" spans="1:7" x14ac:dyDescent="0.3">
      <c r="A10" t="s">
        <v>63</v>
      </c>
      <c r="B10" t="s">
        <v>73</v>
      </c>
      <c r="C10">
        <v>9901122334</v>
      </c>
      <c r="D10" s="5" t="s">
        <v>81</v>
      </c>
      <c r="F10" s="2">
        <v>45039</v>
      </c>
      <c r="G10" t="s">
        <v>88</v>
      </c>
    </row>
    <row r="11" spans="1:7" x14ac:dyDescent="0.3">
      <c r="A11" t="s">
        <v>64</v>
      </c>
      <c r="C11">
        <v>9811122233</v>
      </c>
      <c r="D11" s="5" t="s">
        <v>82</v>
      </c>
      <c r="E11" t="s">
        <v>83</v>
      </c>
      <c r="F11" s="2">
        <v>44728</v>
      </c>
    </row>
    <row r="17" spans="1:9" x14ac:dyDescent="0.3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H17" t="s">
        <v>96</v>
      </c>
      <c r="I17" t="s">
        <v>97</v>
      </c>
    </row>
    <row r="19" spans="1:9" x14ac:dyDescent="0.3">
      <c r="A19" t="str">
        <f>LEFT(A3,3)</f>
        <v>EMP</v>
      </c>
      <c r="B19" t="str">
        <f>LEFT(B2,5)</f>
        <v>Rahul</v>
      </c>
      <c r="C19" t="s">
        <v>98</v>
      </c>
      <c r="D19" t="b">
        <f>AND(ISNUMBER(C2),LEN(C2)=10)</f>
        <v>1</v>
      </c>
      <c r="E19" t="b">
        <f>ISBLANK(D2)</f>
        <v>0</v>
      </c>
      <c r="F19" t="b">
        <f>OR(ISBLANK(D2), D2="", ISERROR(FIND("@", D2)))</f>
        <v>0</v>
      </c>
      <c r="H19" t="str">
        <f>_xlfn.CONCAT(B2," ",A2)</f>
        <v>Rahul Sharma emp001</v>
      </c>
      <c r="I19" t="str">
        <f>_xlfn.TEXTJOIN(" ",TRUE,B2,A2,E2)</f>
        <v>Rahul Sharma emp001 Sales</v>
      </c>
    </row>
    <row r="20" spans="1:9" x14ac:dyDescent="0.3">
      <c r="A20" t="str">
        <f t="shared" ref="A20:A27" si="0">LEFT(A4,3)</f>
        <v>EMP</v>
      </c>
      <c r="B20" t="str">
        <f t="shared" ref="B20:B26" si="1">LEFT(B3,5)</f>
        <v>Anita</v>
      </c>
      <c r="C20" t="s">
        <v>99</v>
      </c>
      <c r="D20" t="b">
        <f t="shared" ref="D20:D27" si="2">AND(ISNUMBER(C3),LEN(C3)=10)</f>
        <v>0</v>
      </c>
      <c r="E20" t="b">
        <f t="shared" ref="E20:E27" si="3">ISBLANK(D3)</f>
        <v>0</v>
      </c>
      <c r="F20" t="b">
        <f t="shared" ref="F20:F27" si="4">OR(ISBLANK(D3), D3="", ISERROR(FIND("@", D3)))</f>
        <v>0</v>
      </c>
      <c r="H20" t="str">
        <f t="shared" ref="H20:H27" si="5">_xlfn.CONCAT(B3," ",A3)</f>
        <v>Anita Singh EMP-002</v>
      </c>
      <c r="I20" t="str">
        <f t="shared" ref="I20:I27" si="6">_xlfn.TEXTJOIN(" ",TRUE,B3,A3,E3)</f>
        <v>Anita Singh EMP-002 HR</v>
      </c>
    </row>
    <row r="21" spans="1:9" x14ac:dyDescent="0.3">
      <c r="A21" t="str">
        <f t="shared" si="0"/>
        <v>Emp</v>
      </c>
      <c r="B21" t="str">
        <f t="shared" si="1"/>
        <v>David</v>
      </c>
      <c r="C21" t="s">
        <v>100</v>
      </c>
      <c r="D21" t="b">
        <f t="shared" si="2"/>
        <v>0</v>
      </c>
      <c r="E21" t="b">
        <f t="shared" si="3"/>
        <v>1</v>
      </c>
      <c r="F21" t="b">
        <f t="shared" si="4"/>
        <v>1</v>
      </c>
      <c r="H21" t="str">
        <f t="shared" si="5"/>
        <v>David Mathews EMP003</v>
      </c>
      <c r="I21" t="str">
        <f t="shared" si="6"/>
        <v>David Mathews EMP003 IT</v>
      </c>
    </row>
    <row r="22" spans="1:9" x14ac:dyDescent="0.3">
      <c r="A22" t="str">
        <f t="shared" si="0"/>
        <v>EMP</v>
      </c>
      <c r="B22" t="str">
        <f t="shared" si="1"/>
        <v>Sunil</v>
      </c>
      <c r="C22" t="str">
        <f>RIGHT(B5,LEN(B5)-FIND(" ",B5))</f>
        <v>Kumar</v>
      </c>
      <c r="D22" t="b">
        <f t="shared" si="2"/>
        <v>0</v>
      </c>
      <c r="E22" t="b">
        <f t="shared" si="3"/>
        <v>0</v>
      </c>
      <c r="F22" t="b">
        <f t="shared" si="4"/>
        <v>0</v>
      </c>
      <c r="H22" t="str">
        <f t="shared" si="5"/>
        <v>Sunil Kumar Emp004</v>
      </c>
      <c r="I22" t="str">
        <f t="shared" si="6"/>
        <v>Sunil Kumar Emp004 Finance</v>
      </c>
    </row>
    <row r="23" spans="1:9" x14ac:dyDescent="0.3">
      <c r="A23" t="str">
        <f t="shared" si="0"/>
        <v>EMP</v>
      </c>
      <c r="B23" t="str">
        <f t="shared" si="1"/>
        <v>Priya</v>
      </c>
      <c r="C23" t="str">
        <f t="shared" ref="C23:C27" si="7">RIGHT(B6,LEN(B6)-FIND(" ",B6))</f>
        <v>R</v>
      </c>
      <c r="D23" t="b">
        <f t="shared" si="2"/>
        <v>1</v>
      </c>
      <c r="E23" t="b">
        <f t="shared" si="3"/>
        <v>0</v>
      </c>
      <c r="F23" t="b">
        <f t="shared" si="4"/>
        <v>0</v>
      </c>
      <c r="H23" t="str">
        <f t="shared" si="5"/>
        <v>Priya R EMP 005</v>
      </c>
      <c r="I23" t="str">
        <f t="shared" si="6"/>
        <v>Priya R EMP 005 Marketing</v>
      </c>
    </row>
    <row r="24" spans="1:9" x14ac:dyDescent="0.3">
      <c r="A24" t="str">
        <f t="shared" si="0"/>
        <v>emp</v>
      </c>
      <c r="B24" t="str">
        <f t="shared" si="1"/>
        <v xml:space="preserve">Aman </v>
      </c>
      <c r="C24" t="str">
        <f t="shared" si="7"/>
        <v>Verma</v>
      </c>
      <c r="D24" t="b">
        <f t="shared" si="2"/>
        <v>0</v>
      </c>
      <c r="E24" t="b">
        <f t="shared" si="3"/>
        <v>0</v>
      </c>
      <c r="F24" t="b">
        <f t="shared" si="4"/>
        <v>0</v>
      </c>
      <c r="H24" t="str">
        <f t="shared" si="5"/>
        <v>Aman Verma EMP006</v>
      </c>
      <c r="I24" t="str">
        <f t="shared" si="6"/>
        <v>Aman Verma EMP006 IT</v>
      </c>
    </row>
    <row r="25" spans="1:9" x14ac:dyDescent="0.3">
      <c r="A25" t="str">
        <f t="shared" si="0"/>
        <v>EMP</v>
      </c>
      <c r="B25" t="str">
        <f t="shared" si="1"/>
        <v>Maria</v>
      </c>
      <c r="C25" t="str">
        <f t="shared" si="7"/>
        <v>Lopez</v>
      </c>
      <c r="D25" t="b">
        <f t="shared" si="2"/>
        <v>1</v>
      </c>
      <c r="E25" t="b">
        <f t="shared" si="3"/>
        <v>1</v>
      </c>
      <c r="F25" t="b">
        <f t="shared" si="4"/>
        <v>1</v>
      </c>
      <c r="H25" t="str">
        <f t="shared" si="5"/>
        <v>Maria Lopez emp007</v>
      </c>
      <c r="I25" t="str">
        <f t="shared" si="6"/>
        <v>Maria Lopez emp007 Sales</v>
      </c>
    </row>
    <row r="26" spans="1:9" x14ac:dyDescent="0.3">
      <c r="A26" t="str">
        <f t="shared" si="0"/>
        <v>emp</v>
      </c>
      <c r="B26" t="str">
        <f t="shared" si="1"/>
        <v xml:space="preserve">John </v>
      </c>
      <c r="C26" t="str">
        <f t="shared" si="7"/>
        <v>Paul</v>
      </c>
      <c r="D26" t="b">
        <f t="shared" si="2"/>
        <v>1</v>
      </c>
      <c r="E26" t="b">
        <f t="shared" si="3"/>
        <v>0</v>
      </c>
      <c r="F26" t="b">
        <f t="shared" si="4"/>
        <v>0</v>
      </c>
      <c r="H26" t="str">
        <f t="shared" si="5"/>
        <v>John Paul EMP008</v>
      </c>
      <c r="I26" t="str">
        <f t="shared" si="6"/>
        <v>John Paul EMP008 IT</v>
      </c>
    </row>
    <row r="27" spans="1:9" x14ac:dyDescent="0.3">
      <c r="A27" t="str">
        <f t="shared" si="0"/>
        <v>EMP</v>
      </c>
      <c r="B27" t="str">
        <f>LEFT(B10,6)</f>
        <v>Khushi</v>
      </c>
      <c r="C27" t="str">
        <f t="shared" si="7"/>
        <v>Jain</v>
      </c>
      <c r="D27" t="b">
        <f t="shared" si="2"/>
        <v>1</v>
      </c>
      <c r="E27" t="b">
        <f t="shared" si="3"/>
        <v>0</v>
      </c>
      <c r="F27" t="b">
        <f t="shared" si="4"/>
        <v>0</v>
      </c>
      <c r="H27" t="str">
        <f t="shared" si="5"/>
        <v>Khushi Jain emp009</v>
      </c>
      <c r="I27" t="str">
        <f t="shared" si="6"/>
        <v>Khushi Jain emp009</v>
      </c>
    </row>
    <row r="28" spans="1:9" x14ac:dyDescent="0.3">
      <c r="C28" t="str">
        <f t="shared" ref="C28" si="8">RIGHT(B11,7)</f>
        <v/>
      </c>
    </row>
  </sheetData>
  <hyperlinks>
    <hyperlink ref="D2" r:id="rId1" xr:uid="{09F21681-8919-4766-AA09-D636016A0E4C}"/>
    <hyperlink ref="D3" r:id="rId2" xr:uid="{9639DC6E-AB21-464B-8254-606777A83E9B}"/>
    <hyperlink ref="D5" r:id="rId3" xr:uid="{5E3A7F1B-390F-427C-BD2E-35EF5FB19ED1}"/>
    <hyperlink ref="D6" r:id="rId4" xr:uid="{82712997-379B-4BE4-B63F-9C7DFD635A64}"/>
    <hyperlink ref="D7" r:id="rId5" xr:uid="{6C8265A6-C7F1-45D1-881E-F77AD1E2E96F}"/>
    <hyperlink ref="D9" r:id="rId6" xr:uid="{8E692421-C5EE-48FD-8B88-F3A90EB124E4}"/>
    <hyperlink ref="D10" r:id="rId7" xr:uid="{56F1DA84-4BE0-455F-8E9F-6AD48A48E7C1}"/>
    <hyperlink ref="D11" r:id="rId8" xr:uid="{5413EF28-5B4E-47CE-93E3-CEE722FE376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619BF-0453-4B1B-959F-D54BF49B30F5}">
  <dimension ref="A2:AS42"/>
  <sheetViews>
    <sheetView topLeftCell="A48" workbookViewId="0">
      <selection activeCell="I46" sqref="I46"/>
    </sheetView>
  </sheetViews>
  <sheetFormatPr defaultRowHeight="14.4" x14ac:dyDescent="0.3"/>
  <cols>
    <col min="2" max="2" width="15.109375" customWidth="1"/>
    <col min="3" max="3" width="10.6640625" customWidth="1"/>
    <col min="6" max="6" width="12" customWidth="1"/>
    <col min="10" max="10" width="22.6640625" customWidth="1"/>
  </cols>
  <sheetData>
    <row r="2" spans="1:42" x14ac:dyDescent="0.3">
      <c r="A2" s="1" t="s">
        <v>101</v>
      </c>
      <c r="B2" s="1" t="s">
        <v>102</v>
      </c>
      <c r="C2" s="1" t="s">
        <v>103</v>
      </c>
      <c r="D2" s="1" t="s">
        <v>104</v>
      </c>
      <c r="E2" s="1" t="s">
        <v>105</v>
      </c>
      <c r="F2" s="1" t="s">
        <v>106</v>
      </c>
    </row>
    <row r="3" spans="1:42" x14ac:dyDescent="0.3">
      <c r="A3" t="s">
        <v>107</v>
      </c>
      <c r="B3" t="s">
        <v>65</v>
      </c>
      <c r="C3" t="s">
        <v>83</v>
      </c>
      <c r="D3">
        <v>55000</v>
      </c>
      <c r="E3" t="s">
        <v>108</v>
      </c>
      <c r="F3">
        <v>2021</v>
      </c>
    </row>
    <row r="4" spans="1:42" x14ac:dyDescent="0.3">
      <c r="A4" t="s">
        <v>109</v>
      </c>
      <c r="B4" t="s">
        <v>66</v>
      </c>
      <c r="C4" t="s">
        <v>84</v>
      </c>
      <c r="D4">
        <v>48000</v>
      </c>
      <c r="E4" t="s">
        <v>119</v>
      </c>
      <c r="F4">
        <v>2019</v>
      </c>
    </row>
    <row r="5" spans="1:42" x14ac:dyDescent="0.3">
      <c r="A5" t="s">
        <v>110</v>
      </c>
      <c r="B5" t="s">
        <v>67</v>
      </c>
      <c r="C5" t="s">
        <v>85</v>
      </c>
      <c r="D5">
        <v>72000</v>
      </c>
      <c r="E5" t="s">
        <v>120</v>
      </c>
      <c r="F5">
        <v>2020</v>
      </c>
    </row>
    <row r="6" spans="1:42" x14ac:dyDescent="0.3">
      <c r="A6" t="s">
        <v>111</v>
      </c>
      <c r="B6" t="s">
        <v>69</v>
      </c>
      <c r="C6" t="s">
        <v>85</v>
      </c>
      <c r="D6">
        <v>69000</v>
      </c>
      <c r="E6" t="s">
        <v>121</v>
      </c>
      <c r="F6">
        <v>2022</v>
      </c>
    </row>
    <row r="7" spans="1:42" x14ac:dyDescent="0.3">
      <c r="A7" t="s">
        <v>112</v>
      </c>
      <c r="B7" t="s">
        <v>68</v>
      </c>
      <c r="C7" t="s">
        <v>86</v>
      </c>
      <c r="D7">
        <v>58000</v>
      </c>
      <c r="E7" t="s">
        <v>108</v>
      </c>
      <c r="F7">
        <v>2021</v>
      </c>
    </row>
    <row r="8" spans="1:42" x14ac:dyDescent="0.3">
      <c r="A8" t="s">
        <v>113</v>
      </c>
      <c r="B8" t="s">
        <v>71</v>
      </c>
      <c r="C8" t="s">
        <v>87</v>
      </c>
      <c r="D8">
        <v>51000</v>
      </c>
      <c r="E8" t="s">
        <v>122</v>
      </c>
      <c r="F8">
        <v>2018</v>
      </c>
    </row>
    <row r="9" spans="1:42" x14ac:dyDescent="0.3">
      <c r="A9" t="s">
        <v>114</v>
      </c>
      <c r="B9" t="s">
        <v>72</v>
      </c>
      <c r="C9" t="s">
        <v>83</v>
      </c>
      <c r="D9">
        <v>60000</v>
      </c>
      <c r="E9" t="s">
        <v>119</v>
      </c>
      <c r="F9">
        <v>2023</v>
      </c>
    </row>
    <row r="10" spans="1:42" x14ac:dyDescent="0.3">
      <c r="A10" t="s">
        <v>115</v>
      </c>
      <c r="B10" t="s">
        <v>73</v>
      </c>
      <c r="C10" t="s">
        <v>84</v>
      </c>
      <c r="D10">
        <v>47000</v>
      </c>
      <c r="E10" t="s">
        <v>120</v>
      </c>
      <c r="F10">
        <v>2022</v>
      </c>
    </row>
    <row r="11" spans="1:42" x14ac:dyDescent="0.3">
      <c r="A11" t="s">
        <v>116</v>
      </c>
      <c r="B11" t="s">
        <v>118</v>
      </c>
      <c r="C11" t="s">
        <v>85</v>
      </c>
      <c r="D11">
        <v>73000</v>
      </c>
      <c r="E11" t="s">
        <v>123</v>
      </c>
      <c r="F11">
        <v>2019</v>
      </c>
    </row>
    <row r="12" spans="1:42" x14ac:dyDescent="0.3">
      <c r="A12" t="s">
        <v>117</v>
      </c>
      <c r="B12" t="s">
        <v>70</v>
      </c>
      <c r="C12" t="s">
        <v>86</v>
      </c>
      <c r="D12">
        <v>54000</v>
      </c>
      <c r="E12" t="s">
        <v>108</v>
      </c>
      <c r="F12">
        <v>2020</v>
      </c>
    </row>
    <row r="13" spans="1:42" x14ac:dyDescent="0.3">
      <c r="Z13" s="1" t="s">
        <v>135</v>
      </c>
      <c r="AF13" s="1" t="s">
        <v>139</v>
      </c>
    </row>
    <row r="14" spans="1:42" x14ac:dyDescent="0.3">
      <c r="B14" s="1" t="s">
        <v>125</v>
      </c>
      <c r="C14" s="1"/>
      <c r="D14" s="1"/>
      <c r="E14" s="1"/>
      <c r="F14" s="1" t="s">
        <v>129</v>
      </c>
      <c r="Z14" s="1" t="s">
        <v>136</v>
      </c>
      <c r="AA14" s="1"/>
      <c r="AB14" s="1"/>
      <c r="AC14" s="1"/>
      <c r="AD14" s="1"/>
      <c r="AE14" s="1"/>
      <c r="AF14" s="1" t="s">
        <v>140</v>
      </c>
      <c r="AP14" s="1" t="s">
        <v>143</v>
      </c>
    </row>
    <row r="15" spans="1:42" x14ac:dyDescent="0.3">
      <c r="B15" s="1" t="s">
        <v>126</v>
      </c>
      <c r="C15" s="1"/>
      <c r="D15" s="1"/>
      <c r="E15" s="1"/>
      <c r="F15" s="1" t="s">
        <v>130</v>
      </c>
      <c r="AP15" s="1" t="s">
        <v>144</v>
      </c>
    </row>
    <row r="16" spans="1:42" s="1" customFormat="1" x14ac:dyDescent="0.3">
      <c r="A16" s="1" t="s">
        <v>124</v>
      </c>
      <c r="E16" s="1" t="s">
        <v>131</v>
      </c>
      <c r="I16" s="1" t="s">
        <v>132</v>
      </c>
      <c r="L16" s="1" t="s">
        <v>133</v>
      </c>
      <c r="S16" s="1" t="s">
        <v>134</v>
      </c>
      <c r="Z16" s="1" t="s">
        <v>146</v>
      </c>
      <c r="AF16" s="1" t="s">
        <v>141</v>
      </c>
    </row>
    <row r="17" spans="1:45" x14ac:dyDescent="0.3">
      <c r="A17">
        <f>INDEX(A3:F12,6,4)</f>
        <v>51000</v>
      </c>
      <c r="Z17" t="str" cm="1">
        <f t="array" ref="Z17:AE19">_xlfn._xlws.FILTER(A3:F12,C3:C12="IT")</f>
        <v>E003</v>
      </c>
      <c r="AA17" t="str">
        <v>David Mathews</v>
      </c>
      <c r="AB17" t="str">
        <v>IT</v>
      </c>
      <c r="AC17">
        <v>72000</v>
      </c>
      <c r="AD17" t="str">
        <v>Bangalore</v>
      </c>
      <c r="AE17">
        <v>2020</v>
      </c>
      <c r="AF17" t="str" cm="1">
        <f t="array" ref="AF17:AF18">_xlfn.UNIQUE(_xlfn._xlws.FILTER(C3:C12,E3:E12="Delhi"))</f>
        <v>Sales</v>
      </c>
      <c r="AP17" s="1" t="s">
        <v>145</v>
      </c>
    </row>
    <row r="18" spans="1:45" x14ac:dyDescent="0.3">
      <c r="E18" t="str" cm="1">
        <f t="array" ref="E18:J27">_xlfn._xlws.SORT(A3:F12,4,-1)</f>
        <v>E009</v>
      </c>
      <c r="F18" t="str">
        <v>Rohan Mehta</v>
      </c>
      <c r="G18" t="str">
        <v>IT</v>
      </c>
      <c r="H18">
        <v>73000</v>
      </c>
      <c r="I18" t="str">
        <v>Hyderabad</v>
      </c>
      <c r="J18">
        <v>2019</v>
      </c>
      <c r="L18" t="str" cm="1">
        <f t="array" ref="L18:Q27">_xlfn.SORTBY(A3:F12,C3:C12,1,D3:D12,1)</f>
        <v>E010</v>
      </c>
      <c r="M18" t="str">
        <v>Aman Verma</v>
      </c>
      <c r="N18" t="str">
        <v>Finance</v>
      </c>
      <c r="O18">
        <v>54000</v>
      </c>
      <c r="P18" t="str">
        <v>Delhi</v>
      </c>
      <c r="Q18">
        <v>2020</v>
      </c>
      <c r="Z18" t="str">
        <v>E004</v>
      </c>
      <c r="AA18" t="str">
        <v>Priya R</v>
      </c>
      <c r="AB18" t="str">
        <v>IT</v>
      </c>
      <c r="AC18">
        <v>69000</v>
      </c>
      <c r="AD18" t="str">
        <v>Pune</v>
      </c>
      <c r="AE18">
        <v>2022</v>
      </c>
      <c r="AF18" t="str">
        <v>Finance</v>
      </c>
    </row>
    <row r="19" spans="1:45" x14ac:dyDescent="0.3">
      <c r="A19" s="1" t="s">
        <v>127</v>
      </c>
      <c r="B19" s="1" t="s">
        <v>128</v>
      </c>
      <c r="E19" t="str">
        <v>E003</v>
      </c>
      <c r="F19" t="str">
        <v>David Mathews</v>
      </c>
      <c r="G19" t="str">
        <v>IT</v>
      </c>
      <c r="H19">
        <v>72000</v>
      </c>
      <c r="I19" t="str">
        <v>Bangalore</v>
      </c>
      <c r="J19">
        <v>2020</v>
      </c>
      <c r="L19" t="str">
        <v>E005</v>
      </c>
      <c r="M19" t="str">
        <v>Sunil Kumar</v>
      </c>
      <c r="N19" t="str">
        <v>Finance</v>
      </c>
      <c r="O19">
        <v>58000</v>
      </c>
      <c r="P19" t="str">
        <v>Delhi</v>
      </c>
      <c r="Q19">
        <v>2021</v>
      </c>
      <c r="S19" t="str" cm="1">
        <f t="array" ref="S19:X28">_xlfn._xlws.SORT(A3:F12,6,1)</f>
        <v>E006</v>
      </c>
      <c r="T19" t="str">
        <v>Maria Lopez</v>
      </c>
      <c r="U19" t="str">
        <v>Marketing</v>
      </c>
      <c r="V19">
        <v>51000</v>
      </c>
      <c r="W19" t="str">
        <v>Chennai</v>
      </c>
      <c r="X19">
        <v>2018</v>
      </c>
      <c r="Z19" t="str">
        <v>E009</v>
      </c>
      <c r="AA19" t="str">
        <v>Rohan Mehta</v>
      </c>
      <c r="AB19" t="str">
        <v>IT</v>
      </c>
      <c r="AC19">
        <v>73000</v>
      </c>
      <c r="AD19" t="str">
        <v>Hyderabad</v>
      </c>
      <c r="AE19">
        <v>2019</v>
      </c>
    </row>
    <row r="20" spans="1:45" x14ac:dyDescent="0.3">
      <c r="E20" t="str">
        <v>E004</v>
      </c>
      <c r="F20" t="str">
        <v>Priya R</v>
      </c>
      <c r="G20" t="str">
        <v>IT</v>
      </c>
      <c r="H20">
        <v>69000</v>
      </c>
      <c r="I20" t="str">
        <v>Pune</v>
      </c>
      <c r="J20">
        <v>2022</v>
      </c>
      <c r="L20" t="str">
        <v>E008</v>
      </c>
      <c r="M20" t="str">
        <v>Khushi Jain</v>
      </c>
      <c r="N20" t="str">
        <v>HR</v>
      </c>
      <c r="O20">
        <v>47000</v>
      </c>
      <c r="P20" t="str">
        <v>Bangalore</v>
      </c>
      <c r="Q20">
        <v>2022</v>
      </c>
      <c r="S20" t="str">
        <v>E002</v>
      </c>
      <c r="T20" t="str">
        <v>Anita Singh</v>
      </c>
      <c r="U20" t="str">
        <v>HR</v>
      </c>
      <c r="V20">
        <v>48000</v>
      </c>
      <c r="W20" t="str">
        <v>Mumbai</v>
      </c>
      <c r="X20">
        <v>2019</v>
      </c>
      <c r="AP20" cm="1">
        <f t="array" aca="1" ref="AP20:AS23" ca="1">_xlfn.RANDARRAY(4,4,40000,80000,TRUE)</f>
        <v>50299</v>
      </c>
      <c r="AQ20">
        <f ca="1"/>
        <v>72184</v>
      </c>
      <c r="AR20">
        <f ca="1"/>
        <v>55883</v>
      </c>
      <c r="AS20">
        <f ca="1"/>
        <v>58867</v>
      </c>
    </row>
    <row r="21" spans="1:45" x14ac:dyDescent="0.3">
      <c r="A21" t="str">
        <f>INDEX(C3:C12,MATCH(B9,B3:B12,0))</f>
        <v>Sales</v>
      </c>
      <c r="E21" t="str">
        <v>E007</v>
      </c>
      <c r="F21" t="str">
        <v>John Paul</v>
      </c>
      <c r="G21" t="str">
        <v>Sales</v>
      </c>
      <c r="H21">
        <v>60000</v>
      </c>
      <c r="I21" t="str">
        <v>Mumbai</v>
      </c>
      <c r="J21">
        <v>2023</v>
      </c>
      <c r="L21" t="str">
        <v>E002</v>
      </c>
      <c r="M21" t="str">
        <v>Anita Singh</v>
      </c>
      <c r="N21" t="str">
        <v>HR</v>
      </c>
      <c r="O21">
        <v>48000</v>
      </c>
      <c r="P21" t="str">
        <v>Mumbai</v>
      </c>
      <c r="Q21">
        <v>2019</v>
      </c>
      <c r="S21" t="str">
        <v>E009</v>
      </c>
      <c r="T21" t="str">
        <v>Rohan Mehta</v>
      </c>
      <c r="U21" t="str">
        <v>IT</v>
      </c>
      <c r="V21">
        <v>73000</v>
      </c>
      <c r="W21" t="str">
        <v>Hyderabad</v>
      </c>
      <c r="X21">
        <v>2019</v>
      </c>
      <c r="Z21" s="1" t="s">
        <v>137</v>
      </c>
      <c r="AP21">
        <f ca="1"/>
        <v>44398</v>
      </c>
      <c r="AQ21">
        <f ca="1"/>
        <v>48496</v>
      </c>
      <c r="AR21">
        <f ca="1"/>
        <v>47103</v>
      </c>
      <c r="AS21">
        <f ca="1"/>
        <v>64972</v>
      </c>
    </row>
    <row r="22" spans="1:45" x14ac:dyDescent="0.3">
      <c r="E22" t="str">
        <v>E005</v>
      </c>
      <c r="F22" t="str">
        <v>Sunil Kumar</v>
      </c>
      <c r="G22" t="str">
        <v>Finance</v>
      </c>
      <c r="H22">
        <v>58000</v>
      </c>
      <c r="I22" t="str">
        <v>Delhi</v>
      </c>
      <c r="J22">
        <v>2021</v>
      </c>
      <c r="L22" t="str">
        <v>E004</v>
      </c>
      <c r="M22" t="str">
        <v>Priya R</v>
      </c>
      <c r="N22" t="str">
        <v>IT</v>
      </c>
      <c r="O22">
        <v>69000</v>
      </c>
      <c r="P22" t="str">
        <v>Pune</v>
      </c>
      <c r="Q22">
        <v>2022</v>
      </c>
      <c r="S22" t="str">
        <v>E003</v>
      </c>
      <c r="T22" t="str">
        <v>David Mathews</v>
      </c>
      <c r="U22" t="str">
        <v>IT</v>
      </c>
      <c r="V22">
        <v>72000</v>
      </c>
      <c r="W22" t="str">
        <v>Bangalore</v>
      </c>
      <c r="X22">
        <v>2020</v>
      </c>
      <c r="AP22">
        <f ca="1"/>
        <v>43540</v>
      </c>
      <c r="AQ22">
        <f ca="1"/>
        <v>52220</v>
      </c>
      <c r="AR22">
        <f ca="1"/>
        <v>60580</v>
      </c>
      <c r="AS22">
        <f ca="1"/>
        <v>50994</v>
      </c>
    </row>
    <row r="23" spans="1:45" x14ac:dyDescent="0.3">
      <c r="E23" t="str">
        <v>E001</v>
      </c>
      <c r="F23" t="str">
        <v>Rahul Sharma</v>
      </c>
      <c r="G23" t="str">
        <v>Sales</v>
      </c>
      <c r="H23">
        <v>55000</v>
      </c>
      <c r="I23" t="str">
        <v>Delhi</v>
      </c>
      <c r="J23">
        <v>2021</v>
      </c>
      <c r="L23" t="str">
        <v>E003</v>
      </c>
      <c r="M23" t="str">
        <v>David Mathews</v>
      </c>
      <c r="N23" t="str">
        <v>IT</v>
      </c>
      <c r="O23">
        <v>72000</v>
      </c>
      <c r="P23" t="str">
        <v>Bangalore</v>
      </c>
      <c r="Q23">
        <v>2020</v>
      </c>
      <c r="S23" t="str">
        <v>E010</v>
      </c>
      <c r="T23" t="str">
        <v>Aman Verma</v>
      </c>
      <c r="U23" t="str">
        <v>Finance</v>
      </c>
      <c r="V23">
        <v>54000</v>
      </c>
      <c r="W23" t="str">
        <v>Delhi</v>
      </c>
      <c r="X23">
        <v>2020</v>
      </c>
      <c r="Z23" t="str" cm="1">
        <f t="array" ref="Z23:AE25">_xlfn._xlws.FILTER(A3:F12,D3:D12&gt;60000)</f>
        <v>E003</v>
      </c>
      <c r="AA23" t="str">
        <v>David Mathews</v>
      </c>
      <c r="AB23" t="str">
        <v>IT</v>
      </c>
      <c r="AC23">
        <v>72000</v>
      </c>
      <c r="AD23" t="str">
        <v>Bangalore</v>
      </c>
      <c r="AE23">
        <v>2020</v>
      </c>
      <c r="AP23">
        <f ca="1"/>
        <v>76305</v>
      </c>
      <c r="AQ23">
        <f ca="1"/>
        <v>46115</v>
      </c>
      <c r="AR23">
        <f ca="1"/>
        <v>46642</v>
      </c>
      <c r="AS23">
        <f ca="1"/>
        <v>65891</v>
      </c>
    </row>
    <row r="24" spans="1:45" x14ac:dyDescent="0.3">
      <c r="E24" t="str">
        <v>E010</v>
      </c>
      <c r="F24" t="str">
        <v>Aman Verma</v>
      </c>
      <c r="G24" t="str">
        <v>Finance</v>
      </c>
      <c r="H24">
        <v>54000</v>
      </c>
      <c r="I24" t="str">
        <v>Delhi</v>
      </c>
      <c r="J24">
        <v>2020</v>
      </c>
      <c r="L24" t="str">
        <v>E009</v>
      </c>
      <c r="M24" t="str">
        <v>Rohan Mehta</v>
      </c>
      <c r="N24" t="str">
        <v>IT</v>
      </c>
      <c r="O24">
        <v>73000</v>
      </c>
      <c r="P24" t="str">
        <v>Hyderabad</v>
      </c>
      <c r="Q24">
        <v>2019</v>
      </c>
      <c r="S24" t="str">
        <v>E001</v>
      </c>
      <c r="T24" t="str">
        <v>Rahul Sharma</v>
      </c>
      <c r="U24" t="str">
        <v>Sales</v>
      </c>
      <c r="V24">
        <v>55000</v>
      </c>
      <c r="W24" t="str">
        <v>Delhi</v>
      </c>
      <c r="X24">
        <v>2021</v>
      </c>
      <c r="Z24" t="str">
        <v>E004</v>
      </c>
      <c r="AA24" t="str">
        <v>Priya R</v>
      </c>
      <c r="AB24" t="str">
        <v>IT</v>
      </c>
      <c r="AC24">
        <v>69000</v>
      </c>
      <c r="AD24" t="str">
        <v>Pune</v>
      </c>
      <c r="AE24">
        <v>2022</v>
      </c>
    </row>
    <row r="25" spans="1:45" x14ac:dyDescent="0.3">
      <c r="E25" t="str">
        <v>E006</v>
      </c>
      <c r="F25" t="str">
        <v>Maria Lopez</v>
      </c>
      <c r="G25" t="str">
        <v>Marketing</v>
      </c>
      <c r="H25">
        <v>51000</v>
      </c>
      <c r="I25" t="str">
        <v>Chennai</v>
      </c>
      <c r="J25">
        <v>2018</v>
      </c>
      <c r="L25" t="str">
        <v>E006</v>
      </c>
      <c r="M25" t="str">
        <v>Maria Lopez</v>
      </c>
      <c r="N25" t="str">
        <v>Marketing</v>
      </c>
      <c r="O25">
        <v>51000</v>
      </c>
      <c r="P25" t="str">
        <v>Chennai</v>
      </c>
      <c r="Q25">
        <v>2018</v>
      </c>
      <c r="S25" t="str">
        <v>E005</v>
      </c>
      <c r="T25" t="str">
        <v>Sunil Kumar</v>
      </c>
      <c r="U25" t="str">
        <v>Finance</v>
      </c>
      <c r="V25">
        <v>58000</v>
      </c>
      <c r="W25" t="str">
        <v>Delhi</v>
      </c>
      <c r="X25">
        <v>2021</v>
      </c>
      <c r="Z25" t="str">
        <v>E009</v>
      </c>
      <c r="AA25" t="str">
        <v>Rohan Mehta</v>
      </c>
      <c r="AB25" t="str">
        <v>IT</v>
      </c>
      <c r="AC25">
        <v>73000</v>
      </c>
      <c r="AD25" t="str">
        <v>Hyderabad</v>
      </c>
      <c r="AE25">
        <v>2019</v>
      </c>
    </row>
    <row r="26" spans="1:45" x14ac:dyDescent="0.3">
      <c r="E26" t="str">
        <v>E002</v>
      </c>
      <c r="F26" t="str">
        <v>Anita Singh</v>
      </c>
      <c r="G26" t="str">
        <v>HR</v>
      </c>
      <c r="H26">
        <v>48000</v>
      </c>
      <c r="I26" t="str">
        <v>Mumbai</v>
      </c>
      <c r="J26">
        <v>2019</v>
      </c>
      <c r="L26" t="str">
        <v>E001</v>
      </c>
      <c r="M26" t="str">
        <v>Rahul Sharma</v>
      </c>
      <c r="N26" t="str">
        <v>Sales</v>
      </c>
      <c r="O26">
        <v>55000</v>
      </c>
      <c r="P26" t="str">
        <v>Delhi</v>
      </c>
      <c r="Q26">
        <v>2021</v>
      </c>
      <c r="S26" t="str">
        <v>E004</v>
      </c>
      <c r="T26" t="str">
        <v>Priya R</v>
      </c>
      <c r="U26" t="str">
        <v>IT</v>
      </c>
      <c r="V26">
        <v>69000</v>
      </c>
      <c r="W26" t="str">
        <v>Pune</v>
      </c>
      <c r="X26">
        <v>2022</v>
      </c>
    </row>
    <row r="27" spans="1:45" x14ac:dyDescent="0.3">
      <c r="E27" t="str">
        <v>E008</v>
      </c>
      <c r="F27" t="str">
        <v>Khushi Jain</v>
      </c>
      <c r="G27" t="str">
        <v>HR</v>
      </c>
      <c r="H27">
        <v>47000</v>
      </c>
      <c r="I27" t="str">
        <v>Bangalore</v>
      </c>
      <c r="J27">
        <v>2022</v>
      </c>
      <c r="L27" t="str">
        <v>E007</v>
      </c>
      <c r="M27" t="str">
        <v>John Paul</v>
      </c>
      <c r="N27" t="str">
        <v>Sales</v>
      </c>
      <c r="O27">
        <v>60000</v>
      </c>
      <c r="P27" t="str">
        <v>Mumbai</v>
      </c>
      <c r="Q27">
        <v>2023</v>
      </c>
      <c r="S27" t="str">
        <v>E008</v>
      </c>
      <c r="T27" t="str">
        <v>Khushi Jain</v>
      </c>
      <c r="U27" t="str">
        <v>HR</v>
      </c>
      <c r="V27">
        <v>47000</v>
      </c>
      <c r="W27" t="str">
        <v>Bangalore</v>
      </c>
      <c r="X27">
        <v>2022</v>
      </c>
      <c r="AF27" s="1" t="s">
        <v>142</v>
      </c>
      <c r="AG27" s="1"/>
    </row>
    <row r="28" spans="1:45" x14ac:dyDescent="0.3">
      <c r="S28" t="str">
        <v>E007</v>
      </c>
      <c r="T28" t="str">
        <v>John Paul</v>
      </c>
      <c r="U28" t="str">
        <v>Sales</v>
      </c>
      <c r="V28">
        <v>60000</v>
      </c>
      <c r="W28" t="str">
        <v>Mumbai</v>
      </c>
      <c r="X28">
        <v>2023</v>
      </c>
    </row>
    <row r="31" spans="1:45" x14ac:dyDescent="0.3">
      <c r="F31" s="1" t="s">
        <v>132</v>
      </c>
      <c r="Z31" s="1" t="s">
        <v>138</v>
      </c>
      <c r="AF31" cm="1">
        <f t="array" ref="AF31:AG33">_xlfn.SEQUENCE(3,2,2018,1)</f>
        <v>2018</v>
      </c>
      <c r="AG31">
        <v>2019</v>
      </c>
    </row>
    <row r="32" spans="1:45" x14ac:dyDescent="0.3">
      <c r="AF32">
        <v>2020</v>
      </c>
      <c r="AG32">
        <v>2021</v>
      </c>
    </row>
    <row r="33" spans="6:33" x14ac:dyDescent="0.3">
      <c r="F33" t="str" cm="1">
        <f t="array" ref="F33:K42">_xlfn._xlws.SORT(A3:F12,2,1)</f>
        <v>E010</v>
      </c>
      <c r="G33" t="str">
        <v>Aman Verma</v>
      </c>
      <c r="H33" t="str">
        <v>Finance</v>
      </c>
      <c r="I33">
        <v>54000</v>
      </c>
      <c r="J33" t="str">
        <v>Delhi</v>
      </c>
      <c r="K33">
        <v>2020</v>
      </c>
      <c r="AF33">
        <v>2022</v>
      </c>
      <c r="AG33">
        <v>2023</v>
      </c>
    </row>
    <row r="34" spans="6:33" x14ac:dyDescent="0.3">
      <c r="F34" t="str">
        <v>E002</v>
      </c>
      <c r="G34" t="str">
        <v>Anita Singh</v>
      </c>
      <c r="H34" t="str">
        <v>HR</v>
      </c>
      <c r="I34">
        <v>48000</v>
      </c>
      <c r="J34" t="str">
        <v>Mumbai</v>
      </c>
      <c r="K34">
        <v>2019</v>
      </c>
      <c r="Z34" t="str" cm="1">
        <f t="array" ref="Z34:AE36">_xlfn._xlws.FILTER(A3:F12,E3:E12="Delhi")</f>
        <v>E001</v>
      </c>
      <c r="AA34" t="str">
        <v>Rahul Sharma</v>
      </c>
      <c r="AB34" t="str">
        <v>Sales</v>
      </c>
      <c r="AC34">
        <v>55000</v>
      </c>
      <c r="AD34" t="str">
        <v>Delhi</v>
      </c>
      <c r="AE34">
        <v>2021</v>
      </c>
    </row>
    <row r="35" spans="6:33" x14ac:dyDescent="0.3">
      <c r="F35" t="str">
        <v>E003</v>
      </c>
      <c r="G35" t="str">
        <v>David Mathews</v>
      </c>
      <c r="H35" t="str">
        <v>IT</v>
      </c>
      <c r="I35">
        <v>72000</v>
      </c>
      <c r="J35" t="str">
        <v>Bangalore</v>
      </c>
      <c r="K35">
        <v>2020</v>
      </c>
      <c r="Z35" t="str">
        <v>E005</v>
      </c>
      <c r="AA35" t="str">
        <v>Sunil Kumar</v>
      </c>
      <c r="AB35" t="str">
        <v>Finance</v>
      </c>
      <c r="AC35">
        <v>58000</v>
      </c>
      <c r="AD35" t="str">
        <v>Delhi</v>
      </c>
      <c r="AE35">
        <v>2021</v>
      </c>
    </row>
    <row r="36" spans="6:33" x14ac:dyDescent="0.3">
      <c r="F36" t="str">
        <v>E007</v>
      </c>
      <c r="G36" t="str">
        <v>John Paul</v>
      </c>
      <c r="H36" t="str">
        <v>Sales</v>
      </c>
      <c r="I36">
        <v>60000</v>
      </c>
      <c r="J36" t="str">
        <v>Mumbai</v>
      </c>
      <c r="K36">
        <v>2023</v>
      </c>
      <c r="Z36" t="str">
        <v>E010</v>
      </c>
      <c r="AA36" t="str">
        <v>Aman Verma</v>
      </c>
      <c r="AB36" t="str">
        <v>Finance</v>
      </c>
      <c r="AC36">
        <v>54000</v>
      </c>
      <c r="AD36" t="str">
        <v>Delhi</v>
      </c>
      <c r="AE36">
        <v>2020</v>
      </c>
    </row>
    <row r="37" spans="6:33" x14ac:dyDescent="0.3">
      <c r="F37" t="str">
        <v>E008</v>
      </c>
      <c r="G37" t="str">
        <v>Khushi Jain</v>
      </c>
      <c r="H37" t="str">
        <v>HR</v>
      </c>
      <c r="I37">
        <v>47000</v>
      </c>
      <c r="J37" t="str">
        <v>Bangalore</v>
      </c>
      <c r="K37">
        <v>2022</v>
      </c>
    </row>
    <row r="38" spans="6:33" x14ac:dyDescent="0.3">
      <c r="F38" t="str">
        <v>E006</v>
      </c>
      <c r="G38" t="str">
        <v>Maria Lopez</v>
      </c>
      <c r="H38" t="str">
        <v>Marketing</v>
      </c>
      <c r="I38">
        <v>51000</v>
      </c>
      <c r="J38" t="str">
        <v>Chennai</v>
      </c>
      <c r="K38">
        <v>2018</v>
      </c>
    </row>
    <row r="39" spans="6:33" x14ac:dyDescent="0.3">
      <c r="F39" t="str">
        <v>E004</v>
      </c>
      <c r="G39" t="str">
        <v>Priya R</v>
      </c>
      <c r="H39" t="str">
        <v>IT</v>
      </c>
      <c r="I39">
        <v>69000</v>
      </c>
      <c r="J39" t="str">
        <v>Pune</v>
      </c>
      <c r="K39">
        <v>2022</v>
      </c>
    </row>
    <row r="40" spans="6:33" x14ac:dyDescent="0.3">
      <c r="F40" t="str">
        <v>E001</v>
      </c>
      <c r="G40" t="str">
        <v>Rahul Sharma</v>
      </c>
      <c r="H40" t="str">
        <v>Sales</v>
      </c>
      <c r="I40">
        <v>55000</v>
      </c>
      <c r="J40" t="str">
        <v>Delhi</v>
      </c>
      <c r="K40">
        <v>2021</v>
      </c>
    </row>
    <row r="41" spans="6:33" x14ac:dyDescent="0.3">
      <c r="F41" t="str">
        <v>E009</v>
      </c>
      <c r="G41" t="str">
        <v>Rohan Mehta</v>
      </c>
      <c r="H41" t="str">
        <v>IT</v>
      </c>
      <c r="I41">
        <v>73000</v>
      </c>
      <c r="J41" t="str">
        <v>Hyderabad</v>
      </c>
      <c r="K41">
        <v>2019</v>
      </c>
    </row>
    <row r="42" spans="6:33" x14ac:dyDescent="0.3">
      <c r="F42" t="str">
        <v>E005</v>
      </c>
      <c r="G42" t="str">
        <v>Sunil Kumar</v>
      </c>
      <c r="H42" t="str">
        <v>Finance</v>
      </c>
      <c r="I42">
        <v>58000</v>
      </c>
      <c r="J42" t="str">
        <v>Delhi</v>
      </c>
      <c r="K42">
        <v>2021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7A714-565D-4775-879C-2872A8B87A8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F73F4D-11A1-4452-8A32-E2204BCA09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 vishnu</dc:creator>
  <cp:lastModifiedBy>Maha vishnu</cp:lastModifiedBy>
  <dcterms:created xsi:type="dcterms:W3CDTF">2026-02-01T15:07:35Z</dcterms:created>
  <dcterms:modified xsi:type="dcterms:W3CDTF">2026-03-24T16:22:50Z</dcterms:modified>
</cp:coreProperties>
</file>