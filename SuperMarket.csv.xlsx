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ahavishnu\OneDrive\Documents\"/>
    </mc:Choice>
  </mc:AlternateContent>
  <xr:revisionPtr revIDLastSave="0" documentId="13_ncr:1_{3ADB6C84-76E9-4683-9177-043B6B632A55}" xr6:coauthVersionLast="47" xr6:coauthVersionMax="47" xr10:uidLastSave="{00000000-0000-0000-0000-000000000000}"/>
  <bookViews>
    <workbookView xWindow="-108" yWindow="-108" windowWidth="23256" windowHeight="12456" activeTab="1" xr2:uid="{327CC5CF-E8D2-46A9-8984-FB3C3F5D4F1C}"/>
  </bookViews>
  <sheets>
    <sheet name="Sheet4" sheetId="6" r:id="rId1"/>
    <sheet name="SuperMarket Analysis" sheetId="1" r:id="rId2"/>
  </sheets>
  <definedNames>
    <definedName name="_xlcn.WorksheetConnection_SuperMarket.csv.xlsxSales1" hidden="1">Sales[]</definedName>
    <definedName name="_xlcn.WorksheetConnection_SuperMarket.csv.xlsxTable31" hidden="1">Table3[]</definedName>
    <definedName name="Slicer_City">#N/A</definedName>
    <definedName name="Slicer_Gender">#N/A</definedName>
    <definedName name="Slicer_MON">#N/A</definedName>
  </definedNames>
  <calcPr calcId="191029"/>
  <pivotCaches>
    <pivotCache cacheId="38" r:id="rId3"/>
    <pivotCache cacheId="3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SuperMarket.csv.xlsx!Table3"/>
          <x15:modelTable id="Sales" name="Sales" connection="WorksheetConnection_SuperMarket.csv.xlsx!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7" i="1" l="1" a="1"/>
  <c r="L47" i="1" s="1"/>
  <c r="L30" i="1" a="1"/>
  <c r="L30" i="1" s="1"/>
  <c r="L27" i="1" a="1"/>
  <c r="L27" i="1" s="1"/>
  <c r="L25" i="1" a="1"/>
  <c r="L25" i="1" s="1"/>
  <c r="L20" i="1" a="1"/>
  <c r="L20" i="1" s="1"/>
  <c r="L15" i="1" a="1"/>
  <c r="L15" i="1" s="1"/>
  <c r="L5" i="1" a="1"/>
  <c r="L5" i="1" s="1"/>
  <c r="L3" i="1" a="1"/>
  <c r="L3" i="1" s="1"/>
  <c r="L500" i="1" a="1"/>
  <c r="L500" i="1" s="1"/>
  <c r="L498" i="1" a="1"/>
  <c r="L498" i="1" s="1"/>
  <c r="L495" i="1" a="1"/>
  <c r="L495" i="1" s="1"/>
  <c r="L494" i="1" a="1"/>
  <c r="L494" i="1" s="1"/>
  <c r="L492" i="1" a="1"/>
  <c r="L492" i="1" s="1"/>
  <c r="L491" i="1" a="1"/>
  <c r="L491" i="1" s="1"/>
  <c r="L489" i="1" a="1"/>
  <c r="L489" i="1" s="1"/>
  <c r="L482" i="1" a="1"/>
  <c r="L482" i="1" s="1"/>
  <c r="L473" i="1" a="1"/>
  <c r="L473" i="1" s="1"/>
  <c r="L471" i="1" a="1"/>
  <c r="L471" i="1" s="1"/>
  <c r="L466" i="1" a="1"/>
  <c r="L466" i="1" s="1"/>
  <c r="L463" i="1" a="1"/>
  <c r="L463" i="1" s="1"/>
  <c r="L451" i="1" a="1"/>
  <c r="L451" i="1" s="1"/>
  <c r="L448" i="1" a="1"/>
  <c r="L448" i="1" s="1"/>
  <c r="L447" i="1" a="1"/>
  <c r="L447" i="1" s="1"/>
  <c r="L446" i="1" a="1"/>
  <c r="L446" i="1" s="1"/>
  <c r="L445" i="1" a="1"/>
  <c r="L445" i="1" s="1"/>
  <c r="L442" i="1" a="1"/>
  <c r="L442" i="1" s="1"/>
  <c r="L438" i="1" a="1"/>
  <c r="L438" i="1" s="1"/>
  <c r="L437" i="1" a="1"/>
  <c r="L437" i="1" s="1"/>
  <c r="L435" i="1" a="1"/>
  <c r="L435" i="1" s="1"/>
  <c r="L428" i="1" a="1"/>
  <c r="L428" i="1" s="1"/>
  <c r="L424" i="1" a="1"/>
  <c r="L424" i="1" s="1"/>
  <c r="L423" i="1" a="1"/>
  <c r="L423" i="1" s="1"/>
  <c r="L421" i="1" a="1"/>
  <c r="L421" i="1" s="1"/>
  <c r="L420" i="1" a="1"/>
  <c r="L420" i="1" s="1"/>
  <c r="L419" i="1" a="1"/>
  <c r="L419" i="1" s="1"/>
  <c r="L418" i="1" a="1"/>
  <c r="L418" i="1" s="1"/>
  <c r="L416" i="1" a="1"/>
  <c r="L416" i="1" s="1"/>
  <c r="L405" i="1" a="1"/>
  <c r="L405" i="1" s="1"/>
  <c r="L404" i="1" a="1"/>
  <c r="L404" i="1" s="1"/>
  <c r="L402" i="1" a="1"/>
  <c r="L402" i="1" s="1"/>
  <c r="L400" i="1" a="1"/>
  <c r="L400" i="1" s="1"/>
  <c r="L393" i="1" a="1"/>
  <c r="L393" i="1" s="1"/>
  <c r="L392" i="1" a="1"/>
  <c r="L392" i="1" s="1"/>
  <c r="L390" i="1" a="1"/>
  <c r="L390" i="1" s="1"/>
  <c r="L389" i="1" a="1"/>
  <c r="L389" i="1" s="1"/>
  <c r="L386" i="1" a="1"/>
  <c r="L386" i="1" s="1"/>
  <c r="L384" i="1" a="1"/>
  <c r="L384" i="1" s="1"/>
  <c r="L380" i="1" a="1"/>
  <c r="L380" i="1" s="1"/>
  <c r="L379" i="1" a="1"/>
  <c r="L379" i="1" s="1"/>
  <c r="L378" i="1" a="1"/>
  <c r="L378" i="1" s="1"/>
  <c r="L376" i="1" a="1"/>
  <c r="L376" i="1" s="1"/>
  <c r="L375" i="1" a="1"/>
  <c r="L375" i="1" s="1"/>
  <c r="L372" i="1" a="1"/>
  <c r="L372" i="1" s="1"/>
  <c r="L367" i="1" a="1"/>
  <c r="L367" i="1" s="1"/>
  <c r="L363" i="1" a="1"/>
  <c r="L363" i="1" s="1"/>
  <c r="L358" i="1" a="1"/>
  <c r="L358" i="1" s="1"/>
  <c r="L356" i="1" a="1"/>
  <c r="L356" i="1" s="1"/>
  <c r="L354" i="1" a="1"/>
  <c r="L354" i="1" s="1"/>
  <c r="L345" i="1" a="1"/>
  <c r="L345" i="1" s="1"/>
  <c r="L343" i="1" a="1"/>
  <c r="L343" i="1" s="1"/>
  <c r="L341" i="1" a="1"/>
  <c r="L341" i="1" s="1"/>
  <c r="L340" i="1" a="1"/>
  <c r="L340" i="1" s="1"/>
  <c r="L337" i="1" a="1"/>
  <c r="L337" i="1" s="1"/>
  <c r="L336" i="1" a="1"/>
  <c r="L336" i="1" s="1"/>
  <c r="L333" i="1" a="1"/>
  <c r="L333" i="1" s="1"/>
  <c r="L329" i="1" a="1"/>
  <c r="L329" i="1" s="1"/>
  <c r="L326" i="1" a="1"/>
  <c r="L326" i="1" s="1"/>
  <c r="L324" i="1" a="1"/>
  <c r="L324" i="1" s="1"/>
  <c r="L323" i="1" a="1"/>
  <c r="L323" i="1" s="1"/>
  <c r="L321" i="1" a="1"/>
  <c r="L321" i="1" s="1"/>
  <c r="L320" i="1" a="1"/>
  <c r="L320" i="1" s="1"/>
  <c r="L313" i="1" a="1"/>
  <c r="L313" i="1" s="1"/>
  <c r="L308" i="1" a="1"/>
  <c r="L308" i="1" s="1"/>
  <c r="L306" i="1" a="1"/>
  <c r="L306" i="1" s="1"/>
  <c r="L289" i="1" a="1"/>
  <c r="L289" i="1" s="1"/>
  <c r="L286" i="1" a="1"/>
  <c r="L286" i="1" s="1"/>
  <c r="L285" i="1"/>
  <c r="L285" i="1" a="1"/>
  <c r="L281" i="1" a="1"/>
  <c r="L281" i="1" s="1"/>
  <c r="L274" i="1" a="1"/>
  <c r="L274" i="1" s="1"/>
  <c r="L273" i="1" a="1"/>
  <c r="L273" i="1" s="1"/>
  <c r="L269" i="1" a="1"/>
  <c r="L269" i="1" s="1"/>
  <c r="L267" i="1" a="1"/>
  <c r="L267" i="1" s="1"/>
  <c r="L259" i="1" a="1"/>
  <c r="L259" i="1" s="1"/>
  <c r="L258" i="1" a="1"/>
  <c r="L258" i="1" s="1"/>
  <c r="L257" i="1" a="1"/>
  <c r="L257" i="1" s="1"/>
  <c r="L256" i="1" a="1"/>
  <c r="L256" i="1" s="1"/>
  <c r="L253" i="1" a="1"/>
  <c r="L253" i="1" s="1"/>
  <c r="L250" i="1" a="1"/>
  <c r="L250" i="1" s="1"/>
  <c r="L246" i="1" a="1"/>
  <c r="L246" i="1" s="1"/>
  <c r="L239" i="1" a="1"/>
  <c r="L239" i="1" s="1"/>
  <c r="L233" i="1" a="1"/>
  <c r="L233" i="1" s="1"/>
  <c r="L229" i="1" a="1"/>
  <c r="L229" i="1" s="1"/>
  <c r="L227" i="1" a="1"/>
  <c r="L227" i="1" s="1"/>
  <c r="L225" i="1" a="1"/>
  <c r="L225" i="1" s="1"/>
  <c r="L224" i="1" a="1"/>
  <c r="L224" i="1" s="1"/>
  <c r="L220" i="1" a="1"/>
  <c r="L220" i="1" s="1"/>
  <c r="L218" i="1" a="1"/>
  <c r="L218" i="1" s="1"/>
  <c r="L217" i="1" a="1"/>
  <c r="L217" i="1" s="1"/>
  <c r="L213" i="1" a="1"/>
  <c r="L213" i="1" s="1"/>
  <c r="L208" i="1" a="1"/>
  <c r="L208" i="1" s="1"/>
  <c r="L205" i="1" a="1"/>
  <c r="L205" i="1" s="1"/>
  <c r="L204" i="1" a="1"/>
  <c r="L204" i="1" s="1"/>
  <c r="L200" i="1" a="1"/>
  <c r="L200" i="1" s="1"/>
  <c r="L196" i="1" a="1"/>
  <c r="L196" i="1" s="1"/>
  <c r="L194" i="1" a="1"/>
  <c r="L194" i="1" s="1"/>
  <c r="L190" i="1" a="1"/>
  <c r="L190" i="1" s="1"/>
  <c r="L181" i="1" a="1"/>
  <c r="L181" i="1" s="1"/>
  <c r="L178" i="1" a="1"/>
  <c r="L178" i="1" s="1"/>
  <c r="L177" i="1" a="1"/>
  <c r="L177" i="1" s="1"/>
  <c r="L176" i="1" a="1"/>
  <c r="L176" i="1" s="1"/>
  <c r="L175" i="1" a="1"/>
  <c r="L175" i="1" s="1"/>
  <c r="L173" i="1" a="1"/>
  <c r="L173" i="1" s="1"/>
  <c r="L171" i="1" a="1"/>
  <c r="L171" i="1" s="1"/>
  <c r="L169" i="1" a="1"/>
  <c r="L169" i="1" s="1"/>
  <c r="L162" i="1" a="1"/>
  <c r="L162" i="1" s="1"/>
  <c r="L161" i="1" a="1"/>
  <c r="L161" i="1" s="1"/>
  <c r="L159" i="1" a="1"/>
  <c r="L159" i="1" s="1"/>
  <c r="L157" i="1" a="1"/>
  <c r="L157" i="1" s="1"/>
  <c r="L156" i="1" a="1"/>
  <c r="L156" i="1" s="1"/>
  <c r="L155" i="1" a="1"/>
  <c r="L155" i="1" s="1"/>
  <c r="L148" i="1" a="1"/>
  <c r="L148" i="1" s="1"/>
  <c r="L147" i="1" a="1"/>
  <c r="L147" i="1" s="1"/>
  <c r="L145" i="1" a="1"/>
  <c r="L145" i="1" s="1"/>
  <c r="L144" i="1" a="1"/>
  <c r="L144" i="1" s="1"/>
  <c r="L143" i="1" a="1"/>
  <c r="L143" i="1" s="1"/>
  <c r="L141" i="1" a="1"/>
  <c r="L141" i="1" s="1"/>
  <c r="L140" i="1" a="1"/>
  <c r="L140" i="1" s="1"/>
  <c r="L139" i="1" a="1"/>
  <c r="L139" i="1" s="1"/>
  <c r="L138" i="1" a="1"/>
  <c r="L138" i="1" s="1"/>
  <c r="L135" i="1" a="1"/>
  <c r="L135" i="1" s="1"/>
  <c r="L133" i="1" a="1"/>
  <c r="L133" i="1" s="1"/>
  <c r="L130" i="1" a="1"/>
  <c r="L130" i="1" s="1"/>
  <c r="L128" i="1" a="1"/>
  <c r="L128" i="1" s="1"/>
  <c r="L116" i="1" a="1"/>
  <c r="L116" i="1" s="1"/>
  <c r="L114" i="1" a="1"/>
  <c r="L114" i="1" s="1"/>
  <c r="L111" i="1" a="1"/>
  <c r="L111" i="1" s="1"/>
  <c r="L105" i="1" a="1"/>
  <c r="L105" i="1" s="1"/>
  <c r="L100" i="1" a="1"/>
  <c r="L100" i="1" s="1"/>
  <c r="L95" i="1" a="1"/>
  <c r="L95" i="1" s="1"/>
  <c r="L93" i="1" a="1"/>
  <c r="L93" i="1" s="1"/>
  <c r="L88" i="1" a="1"/>
  <c r="L88" i="1" s="1"/>
  <c r="L85" i="1" a="1"/>
  <c r="L85" i="1" s="1"/>
  <c r="L78" i="1" a="1"/>
  <c r="L78" i="1" s="1"/>
  <c r="L76" i="1" a="1"/>
  <c r="L76" i="1" s="1"/>
  <c r="L75" i="1" a="1"/>
  <c r="L75" i="1" s="1"/>
  <c r="L72" i="1" a="1"/>
  <c r="L72" i="1" s="1"/>
  <c r="L69" i="1" a="1"/>
  <c r="L69" i="1" s="1"/>
  <c r="L65" i="1" a="1"/>
  <c r="L65" i="1" s="1"/>
  <c r="L64" i="1" a="1"/>
  <c r="L64" i="1" s="1"/>
  <c r="L62" i="1" a="1"/>
  <c r="L62" i="1" s="1"/>
  <c r="L61" i="1" a="1"/>
  <c r="L61" i="1" s="1"/>
  <c r="L57" i="1" a="1"/>
  <c r="L57" i="1" s="1"/>
  <c r="L53" i="1" a="1"/>
  <c r="L53" i="1" s="1"/>
  <c r="L52" i="1" a="1"/>
  <c r="L52" i="1" s="1"/>
  <c r="L50" i="1" a="1"/>
  <c r="L50" i="1" s="1"/>
  <c r="L48" i="1" a="1"/>
  <c r="L48" i="1" s="1"/>
  <c r="L2" i="1" a="1"/>
  <c r="L2" i="1" s="1"/>
  <c r="L4" i="1" a="1"/>
  <c r="L4" i="1" s="1"/>
  <c r="L6" i="1" a="1"/>
  <c r="L6" i="1" s="1"/>
  <c r="L7" i="1" a="1"/>
  <c r="L7" i="1" s="1"/>
  <c r="L8" i="1" a="1"/>
  <c r="L8" i="1" s="1"/>
  <c r="L9" i="1" a="1"/>
  <c r="L9" i="1" s="1"/>
  <c r="L10" i="1" a="1"/>
  <c r="L10" i="1" s="1"/>
  <c r="L11" i="1" a="1"/>
  <c r="L11" i="1" s="1"/>
  <c r="L12" i="1" a="1"/>
  <c r="L12" i="1" s="1"/>
  <c r="L13" i="1" a="1"/>
  <c r="L13" i="1" s="1"/>
  <c r="L14" i="1" a="1"/>
  <c r="L14" i="1" s="1"/>
  <c r="L16" i="1" a="1"/>
  <c r="L16" i="1" s="1"/>
  <c r="L17" i="1" a="1"/>
  <c r="L17" i="1" s="1"/>
  <c r="L18" i="1" a="1"/>
  <c r="L18" i="1" s="1"/>
  <c r="L19" i="1" a="1"/>
  <c r="L19" i="1" s="1"/>
  <c r="L21" i="1" a="1"/>
  <c r="L21" i="1" s="1"/>
  <c r="L22" i="1" a="1"/>
  <c r="L22" i="1" s="1"/>
  <c r="L23" i="1" a="1"/>
  <c r="L23" i="1" s="1"/>
  <c r="L24" i="1" a="1"/>
  <c r="L24" i="1" s="1"/>
  <c r="L26" i="1" a="1"/>
  <c r="L26" i="1" s="1"/>
  <c r="L28" i="1" a="1"/>
  <c r="L28" i="1" s="1"/>
  <c r="L29" i="1" a="1"/>
  <c r="L29"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9" i="1" a="1"/>
  <c r="L49" i="1" s="1"/>
  <c r="L51" i="1" a="1"/>
  <c r="L51" i="1" s="1"/>
  <c r="L54" i="1" a="1"/>
  <c r="L54" i="1" s="1"/>
  <c r="L55" i="1" a="1"/>
  <c r="L55" i="1" s="1"/>
  <c r="L56" i="1" a="1"/>
  <c r="L56" i="1" s="1"/>
  <c r="L58" i="1" a="1"/>
  <c r="L58" i="1" s="1"/>
  <c r="L59" i="1" a="1"/>
  <c r="L59" i="1" s="1"/>
  <c r="L60" i="1" a="1"/>
  <c r="L60" i="1" s="1"/>
  <c r="L63" i="1" a="1"/>
  <c r="L63" i="1" s="1"/>
  <c r="L66" i="1" a="1"/>
  <c r="L66" i="1" s="1"/>
  <c r="L67" i="1" a="1"/>
  <c r="L67" i="1" s="1"/>
  <c r="L68" i="1" a="1"/>
  <c r="L68" i="1" s="1"/>
  <c r="L70" i="1" a="1"/>
  <c r="L70" i="1" s="1"/>
  <c r="L71" i="1" a="1"/>
  <c r="L71" i="1" s="1"/>
  <c r="L73" i="1" a="1"/>
  <c r="L73" i="1" s="1"/>
  <c r="L74" i="1" a="1"/>
  <c r="L74" i="1" s="1"/>
  <c r="L77" i="1" a="1"/>
  <c r="L77" i="1" s="1"/>
  <c r="L79" i="1" a="1"/>
  <c r="L79" i="1" s="1"/>
  <c r="L80" i="1" a="1"/>
  <c r="L80" i="1" s="1"/>
  <c r="L81" i="1" a="1"/>
  <c r="L81" i="1" s="1"/>
  <c r="L82" i="1" a="1"/>
  <c r="L82" i="1" s="1"/>
  <c r="L83" i="1" a="1"/>
  <c r="L83" i="1" s="1"/>
  <c r="L84" i="1" a="1"/>
  <c r="L84" i="1" s="1"/>
  <c r="L86" i="1" a="1"/>
  <c r="L86" i="1" s="1"/>
  <c r="L87" i="1" a="1"/>
  <c r="L87" i="1" s="1"/>
  <c r="L89" i="1" a="1"/>
  <c r="L89" i="1" s="1"/>
  <c r="L90" i="1" a="1"/>
  <c r="L90" i="1" s="1"/>
  <c r="L91" i="1" a="1"/>
  <c r="L91" i="1" s="1"/>
  <c r="L92" i="1" a="1"/>
  <c r="L92" i="1" s="1"/>
  <c r="L94" i="1" a="1"/>
  <c r="L94" i="1" s="1"/>
  <c r="L96" i="1" a="1"/>
  <c r="L96" i="1" s="1"/>
  <c r="L97" i="1" a="1"/>
  <c r="L97" i="1" s="1"/>
  <c r="L98" i="1" a="1"/>
  <c r="L98" i="1" s="1"/>
  <c r="L99" i="1" a="1"/>
  <c r="L99" i="1" s="1"/>
  <c r="L101" i="1" a="1"/>
  <c r="L101" i="1" s="1"/>
  <c r="L102" i="1" a="1"/>
  <c r="L102" i="1" s="1"/>
  <c r="L103" i="1" a="1"/>
  <c r="L103" i="1" s="1"/>
  <c r="L104" i="1" a="1"/>
  <c r="L104" i="1" s="1"/>
  <c r="L106" i="1" a="1"/>
  <c r="L106" i="1" s="1"/>
  <c r="L107" i="1" a="1"/>
  <c r="L107" i="1" s="1"/>
  <c r="L108" i="1" a="1"/>
  <c r="L108" i="1" s="1"/>
  <c r="L109" i="1" a="1"/>
  <c r="L109" i="1" s="1"/>
  <c r="L110" i="1" a="1"/>
  <c r="L110" i="1" s="1"/>
  <c r="L112" i="1" a="1"/>
  <c r="L112" i="1" s="1"/>
  <c r="L113" i="1" a="1"/>
  <c r="L113" i="1" s="1"/>
  <c r="L115" i="1" a="1"/>
  <c r="L115"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9" i="1" a="1"/>
  <c r="L129" i="1" s="1"/>
  <c r="L131" i="1" a="1"/>
  <c r="L131" i="1" s="1"/>
  <c r="L132" i="1" a="1"/>
  <c r="L132" i="1" s="1"/>
  <c r="L134" i="1" a="1"/>
  <c r="L134" i="1" s="1"/>
  <c r="L136" i="1" a="1"/>
  <c r="L136" i="1" s="1"/>
  <c r="L137" i="1" a="1"/>
  <c r="L137" i="1" s="1"/>
  <c r="L142" i="1" a="1"/>
  <c r="L142" i="1" s="1"/>
  <c r="L146" i="1" a="1"/>
  <c r="L146" i="1" s="1"/>
  <c r="L149" i="1" a="1"/>
  <c r="L149" i="1" s="1"/>
  <c r="L150" i="1" a="1"/>
  <c r="L150" i="1" s="1"/>
  <c r="L151" i="1" a="1"/>
  <c r="L151" i="1" s="1"/>
  <c r="L152" i="1" a="1"/>
  <c r="L152" i="1" s="1"/>
  <c r="L153" i="1" a="1"/>
  <c r="L153" i="1" s="1"/>
  <c r="L154" i="1" a="1"/>
  <c r="L154" i="1" s="1"/>
  <c r="L158" i="1" a="1"/>
  <c r="L158" i="1" s="1"/>
  <c r="L160" i="1" a="1"/>
  <c r="L160" i="1" s="1"/>
  <c r="L163" i="1" a="1"/>
  <c r="L163" i="1" s="1"/>
  <c r="L164" i="1" a="1"/>
  <c r="L164" i="1" s="1"/>
  <c r="L165" i="1" a="1"/>
  <c r="L165" i="1" s="1"/>
  <c r="L166" i="1" a="1"/>
  <c r="L166" i="1" s="1"/>
  <c r="L167" i="1" a="1"/>
  <c r="L167" i="1" s="1"/>
  <c r="L168" i="1" a="1"/>
  <c r="L168" i="1" s="1"/>
  <c r="L170" i="1" a="1"/>
  <c r="L170" i="1" s="1"/>
  <c r="L172" i="1" a="1"/>
  <c r="L172" i="1" s="1"/>
  <c r="L174" i="1" a="1"/>
  <c r="L174" i="1" s="1"/>
  <c r="L179" i="1" a="1"/>
  <c r="L179" i="1" s="1"/>
  <c r="L180" i="1" a="1"/>
  <c r="L180" i="1" s="1"/>
  <c r="L182" i="1" a="1"/>
  <c r="L182" i="1" s="1"/>
  <c r="L183" i="1" a="1"/>
  <c r="L183" i="1" s="1"/>
  <c r="L184" i="1" a="1"/>
  <c r="L184" i="1" s="1"/>
  <c r="L185" i="1" a="1"/>
  <c r="L185" i="1" s="1"/>
  <c r="L186" i="1" a="1"/>
  <c r="L186" i="1" s="1"/>
  <c r="L187" i="1" a="1"/>
  <c r="L187" i="1" s="1"/>
  <c r="L188" i="1" a="1"/>
  <c r="L188" i="1" s="1"/>
  <c r="L189" i="1" a="1"/>
  <c r="L189" i="1" s="1"/>
  <c r="L191" i="1" a="1"/>
  <c r="L191" i="1" s="1"/>
  <c r="L192" i="1" a="1"/>
  <c r="L192" i="1" s="1"/>
  <c r="L193" i="1" a="1"/>
  <c r="L193" i="1" s="1"/>
  <c r="L195" i="1" a="1"/>
  <c r="L195" i="1" s="1"/>
  <c r="L197" i="1" a="1"/>
  <c r="L197" i="1" s="1"/>
  <c r="L198" i="1" a="1"/>
  <c r="L198" i="1" s="1"/>
  <c r="L199" i="1" a="1"/>
  <c r="L199" i="1" s="1"/>
  <c r="L201" i="1" a="1"/>
  <c r="L201" i="1" s="1"/>
  <c r="L202" i="1" a="1"/>
  <c r="L202" i="1" s="1"/>
  <c r="L203" i="1" a="1"/>
  <c r="L203" i="1" s="1"/>
  <c r="L206" i="1" a="1"/>
  <c r="L206" i="1" s="1"/>
  <c r="L207" i="1" a="1"/>
  <c r="L207" i="1" s="1"/>
  <c r="L209" i="1" a="1"/>
  <c r="L209" i="1" s="1"/>
  <c r="L210" i="1" a="1"/>
  <c r="L210" i="1" s="1"/>
  <c r="L211" i="1" a="1"/>
  <c r="L211" i="1" s="1"/>
  <c r="L212" i="1" a="1"/>
  <c r="L212" i="1" s="1"/>
  <c r="L214" i="1" a="1"/>
  <c r="L214" i="1" s="1"/>
  <c r="L215" i="1" a="1"/>
  <c r="L215" i="1" s="1"/>
  <c r="L216" i="1" a="1"/>
  <c r="L216" i="1" s="1"/>
  <c r="L219" i="1" a="1"/>
  <c r="L219" i="1" s="1"/>
  <c r="L221" i="1" a="1"/>
  <c r="L221" i="1" s="1"/>
  <c r="L222" i="1" a="1"/>
  <c r="L222" i="1" s="1"/>
  <c r="L223" i="1" a="1"/>
  <c r="L223" i="1" s="1"/>
  <c r="L226" i="1" a="1"/>
  <c r="L226" i="1" s="1"/>
  <c r="L228" i="1" a="1"/>
  <c r="L228" i="1" s="1"/>
  <c r="L230" i="1" a="1"/>
  <c r="L230" i="1" s="1"/>
  <c r="L231" i="1" a="1"/>
  <c r="L231" i="1" s="1"/>
  <c r="L232" i="1" a="1"/>
  <c r="L232" i="1" s="1"/>
  <c r="L234" i="1" a="1"/>
  <c r="L234" i="1" s="1"/>
  <c r="L235" i="1" a="1"/>
  <c r="L235" i="1" s="1"/>
  <c r="L236" i="1" a="1"/>
  <c r="L236" i="1" s="1"/>
  <c r="L237" i="1" a="1"/>
  <c r="L237" i="1" s="1"/>
  <c r="L238" i="1" a="1"/>
  <c r="L238" i="1" s="1"/>
  <c r="L240" i="1" a="1"/>
  <c r="L240" i="1" s="1"/>
  <c r="L241" i="1" a="1"/>
  <c r="L241" i="1" s="1"/>
  <c r="L242" i="1" a="1"/>
  <c r="L242" i="1" s="1"/>
  <c r="L243" i="1" a="1"/>
  <c r="L243" i="1" s="1"/>
  <c r="L244" i="1" a="1"/>
  <c r="L244" i="1" s="1"/>
  <c r="L245" i="1" a="1"/>
  <c r="L245" i="1" s="1"/>
  <c r="L247" i="1" a="1"/>
  <c r="L247" i="1" s="1"/>
  <c r="L248" i="1" a="1"/>
  <c r="L248" i="1" s="1"/>
  <c r="L249" i="1" a="1"/>
  <c r="L249" i="1" s="1"/>
  <c r="L251" i="1" a="1"/>
  <c r="L251" i="1" s="1"/>
  <c r="L252" i="1" a="1"/>
  <c r="L252" i="1" s="1"/>
  <c r="L254" i="1" a="1"/>
  <c r="L254" i="1" s="1"/>
  <c r="L255" i="1" a="1"/>
  <c r="L255" i="1" s="1"/>
  <c r="L260" i="1" a="1"/>
  <c r="L260" i="1" s="1"/>
  <c r="L261" i="1" a="1"/>
  <c r="L261" i="1" s="1"/>
  <c r="L262" i="1" a="1"/>
  <c r="L262" i="1" s="1"/>
  <c r="L263" i="1" a="1"/>
  <c r="L263" i="1" s="1"/>
  <c r="L264" i="1" a="1"/>
  <c r="L264" i="1" s="1"/>
  <c r="L265" i="1" a="1"/>
  <c r="L265" i="1" s="1"/>
  <c r="L266" i="1" a="1"/>
  <c r="L266" i="1" s="1"/>
  <c r="L268" i="1" a="1"/>
  <c r="L268" i="1" s="1"/>
  <c r="L270" i="1" a="1"/>
  <c r="L270" i="1" s="1"/>
  <c r="L271" i="1" a="1"/>
  <c r="L271" i="1" s="1"/>
  <c r="L272" i="1" a="1"/>
  <c r="L272" i="1" s="1"/>
  <c r="L275" i="1" a="1"/>
  <c r="L275" i="1" s="1"/>
  <c r="L276" i="1" a="1"/>
  <c r="L276" i="1" s="1"/>
  <c r="L277" i="1" a="1"/>
  <c r="L277" i="1" s="1"/>
  <c r="L278" i="1" a="1"/>
  <c r="L278" i="1" s="1"/>
  <c r="L279" i="1" a="1"/>
  <c r="L279" i="1" s="1"/>
  <c r="L280" i="1" a="1"/>
  <c r="L280" i="1" s="1"/>
  <c r="L282" i="1" a="1"/>
  <c r="L282" i="1" s="1"/>
  <c r="L283" i="1" a="1"/>
  <c r="L283" i="1" s="1"/>
  <c r="L284" i="1" a="1"/>
  <c r="L284" i="1" s="1"/>
  <c r="L287" i="1" a="1"/>
  <c r="L287" i="1" s="1"/>
  <c r="L288" i="1" a="1"/>
  <c r="L288"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7" i="1" a="1"/>
  <c r="L307" i="1" s="1"/>
  <c r="L309" i="1" a="1"/>
  <c r="L309" i="1" s="1"/>
  <c r="L310" i="1" a="1"/>
  <c r="L310" i="1" s="1"/>
  <c r="L311" i="1" a="1"/>
  <c r="L311" i="1" s="1"/>
  <c r="L312" i="1" a="1"/>
  <c r="L312" i="1" s="1"/>
  <c r="L314" i="1" a="1"/>
  <c r="L314" i="1" s="1"/>
  <c r="L315" i="1" a="1"/>
  <c r="L315" i="1" s="1"/>
  <c r="L316" i="1" a="1"/>
  <c r="L316" i="1" s="1"/>
  <c r="L317" i="1" a="1"/>
  <c r="L317" i="1" s="1"/>
  <c r="L318" i="1" a="1"/>
  <c r="L318" i="1" s="1"/>
  <c r="L319" i="1" a="1"/>
  <c r="L319" i="1" s="1"/>
  <c r="L322" i="1" a="1"/>
  <c r="L322" i="1" s="1"/>
  <c r="L325" i="1" a="1"/>
  <c r="L325" i="1" s="1"/>
  <c r="L327" i="1" a="1"/>
  <c r="L327" i="1" s="1"/>
  <c r="L328" i="1" a="1"/>
  <c r="L328" i="1" s="1"/>
  <c r="L330" i="1" a="1"/>
  <c r="L330" i="1" s="1"/>
  <c r="L331" i="1" a="1"/>
  <c r="L331" i="1" s="1"/>
  <c r="L332" i="1" a="1"/>
  <c r="L332" i="1" s="1"/>
  <c r="L334" i="1" a="1"/>
  <c r="L334" i="1" s="1"/>
  <c r="L335" i="1" a="1"/>
  <c r="L335" i="1" s="1"/>
  <c r="L338" i="1" a="1"/>
  <c r="L338" i="1" s="1"/>
  <c r="L339" i="1" a="1"/>
  <c r="L339" i="1" s="1"/>
  <c r="L342" i="1" a="1"/>
  <c r="L342" i="1" s="1"/>
  <c r="L344" i="1" a="1"/>
  <c r="L344" i="1" s="1"/>
  <c r="L346" i="1" a="1"/>
  <c r="L346" i="1" s="1"/>
  <c r="L347" i="1" a="1"/>
  <c r="L347" i="1" s="1"/>
  <c r="L348" i="1" a="1"/>
  <c r="L348" i="1" s="1"/>
  <c r="L349" i="1" a="1"/>
  <c r="L349" i="1" s="1"/>
  <c r="L350" i="1" a="1"/>
  <c r="L350" i="1" s="1"/>
  <c r="L351" i="1" a="1"/>
  <c r="L351" i="1" s="1"/>
  <c r="L352" i="1" a="1"/>
  <c r="L352" i="1" s="1"/>
  <c r="L353" i="1" a="1"/>
  <c r="L353" i="1" s="1"/>
  <c r="L355" i="1" a="1"/>
  <c r="L355" i="1" s="1"/>
  <c r="L357" i="1" a="1"/>
  <c r="L357" i="1" s="1"/>
  <c r="L359" i="1" a="1"/>
  <c r="L359" i="1" s="1"/>
  <c r="L360" i="1" a="1"/>
  <c r="L360" i="1" s="1"/>
  <c r="L361" i="1" a="1"/>
  <c r="L361" i="1" s="1"/>
  <c r="L362" i="1" a="1"/>
  <c r="L362" i="1" s="1"/>
  <c r="L364" i="1" a="1"/>
  <c r="L364" i="1" s="1"/>
  <c r="L365" i="1" a="1"/>
  <c r="L365" i="1" s="1"/>
  <c r="L366" i="1" a="1"/>
  <c r="L366" i="1" s="1"/>
  <c r="L368" i="1" a="1"/>
  <c r="L368" i="1" s="1"/>
  <c r="L369" i="1" a="1"/>
  <c r="L369" i="1" s="1"/>
  <c r="L370" i="1" a="1"/>
  <c r="L370" i="1" s="1"/>
  <c r="L371" i="1" a="1"/>
  <c r="L371" i="1" s="1"/>
  <c r="L373" i="1" a="1"/>
  <c r="L373" i="1" s="1"/>
  <c r="L374" i="1" a="1"/>
  <c r="L374" i="1" s="1"/>
  <c r="L377" i="1" a="1"/>
  <c r="L377" i="1" s="1"/>
  <c r="L381" i="1" a="1"/>
  <c r="L381" i="1" s="1"/>
  <c r="L382" i="1" a="1"/>
  <c r="L382" i="1" s="1"/>
  <c r="L383" i="1" a="1"/>
  <c r="L383" i="1" s="1"/>
  <c r="L385" i="1" a="1"/>
  <c r="L385" i="1" s="1"/>
  <c r="L387" i="1" a="1"/>
  <c r="L387" i="1" s="1"/>
  <c r="L388" i="1" a="1"/>
  <c r="L388" i="1" s="1"/>
  <c r="L391" i="1" a="1"/>
  <c r="L391" i="1" s="1"/>
  <c r="L394" i="1" a="1"/>
  <c r="L394" i="1" s="1"/>
  <c r="L395" i="1" a="1"/>
  <c r="L395" i="1" s="1"/>
  <c r="L396" i="1" a="1"/>
  <c r="L396" i="1" s="1"/>
  <c r="L397" i="1" a="1"/>
  <c r="L397" i="1" s="1"/>
  <c r="L398" i="1" a="1"/>
  <c r="L398" i="1" s="1"/>
  <c r="L399" i="1" a="1"/>
  <c r="L399" i="1" s="1"/>
  <c r="L401" i="1" a="1"/>
  <c r="L401" i="1" s="1"/>
  <c r="L403" i="1" a="1"/>
  <c r="L403"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7" i="1" a="1"/>
  <c r="L417" i="1" s="1"/>
  <c r="L422" i="1" a="1"/>
  <c r="L422" i="1" s="1"/>
  <c r="L425" i="1" a="1"/>
  <c r="L425" i="1" s="1"/>
  <c r="L426" i="1" a="1"/>
  <c r="L426" i="1" s="1"/>
  <c r="L427" i="1" a="1"/>
  <c r="L427" i="1" s="1"/>
  <c r="L429" i="1" a="1"/>
  <c r="L429" i="1" s="1"/>
  <c r="L430" i="1" a="1"/>
  <c r="L430" i="1" s="1"/>
  <c r="L431" i="1" a="1"/>
  <c r="L431" i="1" s="1"/>
  <c r="L432" i="1" a="1"/>
  <c r="L432" i="1" s="1"/>
  <c r="L433" i="1" a="1"/>
  <c r="L433" i="1" s="1"/>
  <c r="L434" i="1" a="1"/>
  <c r="L434" i="1" s="1"/>
  <c r="L436" i="1" a="1"/>
  <c r="L436" i="1" s="1"/>
  <c r="L439" i="1" a="1"/>
  <c r="L439" i="1" s="1"/>
  <c r="L440" i="1" a="1"/>
  <c r="L440" i="1" s="1"/>
  <c r="L441" i="1" a="1"/>
  <c r="L441" i="1" s="1"/>
  <c r="L443" i="1" a="1"/>
  <c r="L443" i="1" s="1"/>
  <c r="L444" i="1" a="1"/>
  <c r="L444" i="1" s="1"/>
  <c r="L449" i="1" a="1"/>
  <c r="L449" i="1" s="1"/>
  <c r="L450" i="1" a="1"/>
  <c r="L450"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4" i="1" a="1"/>
  <c r="L464" i="1" s="1"/>
  <c r="L465" i="1" a="1"/>
  <c r="L465" i="1" s="1"/>
  <c r="L467" i="1" a="1"/>
  <c r="L467" i="1" s="1"/>
  <c r="L468" i="1" a="1"/>
  <c r="L468" i="1" s="1"/>
  <c r="L469" i="1" a="1"/>
  <c r="L469" i="1" s="1"/>
  <c r="L470" i="1" a="1"/>
  <c r="L470" i="1" s="1"/>
  <c r="L472" i="1" a="1"/>
  <c r="L472" i="1" s="1"/>
  <c r="L474" i="1" a="1"/>
  <c r="L474" i="1" s="1"/>
  <c r="L475" i="1" a="1"/>
  <c r="L475" i="1" s="1"/>
  <c r="L476" i="1" a="1"/>
  <c r="L476" i="1" s="1"/>
  <c r="L477" i="1" a="1"/>
  <c r="L477" i="1" s="1"/>
  <c r="L478" i="1" a="1"/>
  <c r="L478" i="1" s="1"/>
  <c r="L479" i="1" a="1"/>
  <c r="L479" i="1" s="1"/>
  <c r="L480" i="1" a="1"/>
  <c r="L480" i="1" s="1"/>
  <c r="L481" i="1" a="1"/>
  <c r="L481" i="1" s="1"/>
  <c r="L483" i="1" a="1"/>
  <c r="L483" i="1" s="1"/>
  <c r="L484" i="1" a="1"/>
  <c r="L484" i="1" s="1"/>
  <c r="L485" i="1" a="1"/>
  <c r="L485" i="1" s="1"/>
  <c r="L486" i="1" a="1"/>
  <c r="L486" i="1" s="1"/>
  <c r="L487" i="1" a="1"/>
  <c r="L487" i="1" s="1"/>
  <c r="L488" i="1" a="1"/>
  <c r="L488" i="1" s="1"/>
  <c r="L490" i="1" a="1"/>
  <c r="L490" i="1" s="1"/>
  <c r="L493" i="1" a="1"/>
  <c r="L493" i="1" s="1"/>
  <c r="L496" i="1" a="1"/>
  <c r="L496" i="1" s="1"/>
  <c r="L497" i="1" a="1"/>
  <c r="L497" i="1" s="1"/>
  <c r="L499" i="1" a="1"/>
  <c r="L499" i="1" s="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2" i="1"/>
  <c r="M4" i="1"/>
  <c r="R20" i="1" s="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Q7" i="1"/>
  <c r="Q3"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15DD6D-8497-4D0E-8FE7-D91EF17DD8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2033E76-3781-4451-BF9E-F0D03D1856B4}" name="WorksheetConnection_SuperMarket.csv.xlsx!Sales" type="102" refreshedVersion="8" minRefreshableVersion="5">
    <extLst>
      <ext xmlns:x15="http://schemas.microsoft.com/office/spreadsheetml/2010/11/main" uri="{DE250136-89BD-433C-8126-D09CA5730AF9}">
        <x15:connection id="Sales" autoDelete="1">
          <x15:rangePr sourceName="_xlcn.WorksheetConnection_SuperMarket.csv.xlsxSales1"/>
        </x15:connection>
      </ext>
    </extLst>
  </connection>
  <connection id="3" xr16:uid="{E0576624-D750-4406-B4B4-66C3DC651527}" name="WorksheetConnection_SuperMarket.csv.xlsx!Table3" type="102" refreshedVersion="8" minRefreshableVersion="5">
    <extLst>
      <ext xmlns:x15="http://schemas.microsoft.com/office/spreadsheetml/2010/11/main" uri="{DE250136-89BD-433C-8126-D09CA5730AF9}">
        <x15:connection id="Table3">
          <x15:rangePr sourceName="_xlcn.WorksheetConnection_SuperMarket.csv.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<sst xmlns="http://schemas.openxmlformats.org/spreadsheetml/2006/main" count="2540" uniqueCount="46">
  <si>
    <t>Branch</t>
  </si>
  <si>
    <t>City</t>
  </si>
  <si>
    <t>Customer type</t>
  </si>
  <si>
    <t>Gender</t>
  </si>
  <si>
    <t>Product line</t>
  </si>
  <si>
    <t>Unit price</t>
  </si>
  <si>
    <t>Quantity</t>
  </si>
  <si>
    <t>Tax 5%</t>
  </si>
  <si>
    <t>Sales</t>
  </si>
  <si>
    <t>Date</t>
  </si>
  <si>
    <t>Rating</t>
  </si>
  <si>
    <t>Alex</t>
  </si>
  <si>
    <t>Yangon</t>
  </si>
  <si>
    <t>Member</t>
  </si>
  <si>
    <t>Female</t>
  </si>
  <si>
    <t>Health and beauty</t>
  </si>
  <si>
    <t>Giza</t>
  </si>
  <si>
    <t>Naypyitaw</t>
  </si>
  <si>
    <t>Normal</t>
  </si>
  <si>
    <t>Electronic accessories</t>
  </si>
  <si>
    <t>Home and lifestyle</t>
  </si>
  <si>
    <t>Sports and travel</t>
  </si>
  <si>
    <t>Cairo</t>
  </si>
  <si>
    <t>Mandalay</t>
  </si>
  <si>
    <t>Food and beverages</t>
  </si>
  <si>
    <t>Fashion accessories</t>
  </si>
  <si>
    <t>Male</t>
  </si>
  <si>
    <t>Year</t>
  </si>
  <si>
    <t>month</t>
  </si>
  <si>
    <t>Total sales</t>
  </si>
  <si>
    <t>Avg sales</t>
  </si>
  <si>
    <t>Rating class</t>
  </si>
  <si>
    <t>Mar</t>
  </si>
  <si>
    <t>MON</t>
  </si>
  <si>
    <t>Grand Total</t>
  </si>
  <si>
    <t>Sum of Sales</t>
  </si>
  <si>
    <t>Jan</t>
  </si>
  <si>
    <t>Feb</t>
  </si>
  <si>
    <t>Good</t>
  </si>
  <si>
    <t>Count of Sales</t>
  </si>
  <si>
    <t>Super</t>
  </si>
  <si>
    <t>Average</t>
  </si>
  <si>
    <t>MONTH</t>
  </si>
  <si>
    <t>RATINGS</t>
  </si>
  <si>
    <t>CATEGORY</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</si>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</sst>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yyyy/mm/dd;@"/>
    <numFmt numFmtId="166" formatCode="_ [$₹-449]\ * #,##0.00_ ;_ [$₹-449]\ * \-#,##0.00_ ;_ [$₹-449]\ * &quot;-&quot;??_ ;_ @_ "/>
    <numFmt numFmtId="167" formatCode="_ [$₹-446]\ * #,##0.00_ ;_ [$₹-446]\ * \-#,##0.00_ ;_ [$₹-446]\ * &quot;-&quot;??_ ;_ @_ "/>
  </numFmts>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26"/>
      <color theme="1"/>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64" fontId="0" fillId="0" borderId="0" xfId="0" applyNumberFormat="1"/>
    <xf numFmtId="165" fontId="0" fillId="0" borderId="0" xfId="0" applyNumberFormat="1"/>
    <xf numFmtId="0" fontId="18" fillId="0" borderId="0" xfId="0" applyFont="1"/>
    <xf numFmtId="0" fontId="18" fillId="0" borderId="0" xfId="0" pivotButton="1" applyFont="1"/>
    <xf numFmtId="0" fontId="18" fillId="0" borderId="0" xfId="0" applyFont="1" applyAlignment="1">
      <alignment horizontal="left"/>
    </xf>
    <xf numFmtId="167" fontId="18" fillId="0" borderId="0" xfId="0" applyNumberFormat="1" applyFont="1"/>
    <xf numFmtId="166" fontId="18" fillId="0" borderId="0" xfId="0" applyNumberFormat="1" applyFont="1"/>
    <xf numFmtId="0"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numFmt numFmtId="166" formatCode="_ [$₹-449]\ * #,##0.00_ ;_ [$₹-449]\ * \-#,##0.00_ ;_ [$₹-449]\ * &quot;-&quot;??_ ;_ @_ "/>
    </dxf>
    <dxf>
      <numFmt numFmtId="166" formatCode="_ [$₹-449]\ * #,##0.00_ ;_ [$₹-449]\ * \-#,##0.00_ ;_ [$₹-449]\ * &quot;-&quot;??_ ;_ @_ "/>
    </dxf>
    <dxf>
      <numFmt numFmtId="0" formatCode="General"/>
    </dxf>
    <dxf>
      <numFmt numFmtId="0" formatCode="General"/>
    </dxf>
    <dxf>
      <numFmt numFmtId="0" formatCode="General"/>
    </dxf>
    <dxf>
      <numFmt numFmtId="165"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[SuperMarket.csv.xlsx]Sheet4!PivotTable5</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6986387040949"/>
          <c:y val="9.8687354528797108E-2"/>
          <c:w val="0.83596784776902888"/>
          <c:h val="0.66319663167104115"/>
        </c:manualLayout>
      </c:layout>
      <c:lineChart>
        <c:grouping val="standard"/>
        <c:varyColors val="0"/>
        <c:ser>
          <c:idx val="0"/>
          <c:order val="0"/>
          <c:tx>
            <c:strRef>
              <c:f>Sheet4!$J$13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Sheet4!$I$14:$I$17</c:f>
              <c:strCache>
                <c:ptCount val="3"/>
                <c:pt idx="0">
                  <c:v>Jan</c:v>
                </c:pt>
                <c:pt idx="1">
                  <c:v>Feb</c:v>
                </c:pt>
                <c:pt idx="2">
                  <c:v>Mar</c:v>
                </c:pt>
              </c:strCache>
            </c:strRef>
          </c:cat>
          <c:val>
            <c:numRef>
              <c:f>Sheet4!$J$14:$J$17</c:f>
              <c:numCache>
                <c:formatCode>_ [$₹-449]\ * #,##0.00_ ;_ [$₹-449]\ * \-#,##0.00_ ;_ [$₹-449]\ * "-"??_ ;_ @_ </c:formatCode>
                <c:ptCount val="3"/>
                <c:pt idx="0">
                  <c:v>15213.051000000005</c:v>
                </c:pt>
                <c:pt idx="1">
                  <c:v>14521.426499999996</c:v>
                </c:pt>
                <c:pt idx="2">
                  <c:v>14728.612499999999</c:v>
                </c:pt>
              </c:numCache>
            </c:numRef>
          </c:val>
          <c:smooth val="0"/>
          <c:extLst>
            <c:ext xmlns:c16="http://schemas.microsoft.com/office/drawing/2014/chart" uri="{C3380CC4-5D6E-409C-BE32-E72D297353CC}">
              <c16:uniqueId val="{00000000-1719-4240-9BFB-A6ACB981A34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03737632"/>
        <c:axId val="1303738112"/>
      </c:lineChart>
      <c:catAx>
        <c:axId val="13037376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03738112"/>
        <c:crosses val="autoZero"/>
        <c:auto val="1"/>
        <c:lblAlgn val="ctr"/>
        <c:lblOffset val="100"/>
        <c:noMultiLvlLbl val="0"/>
      </c:catAx>
      <c:valAx>
        <c:axId val="1303738112"/>
        <c:scaling>
          <c:orientation val="minMax"/>
        </c:scaling>
        <c:delete val="0"/>
        <c:axPos val="l"/>
        <c:numFmt formatCode="_ [$₹-449]\ * #,##0.00_ ;_ [$₹-449]\ * \-#,##0.0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0373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[SuperMarket.csv.xlsx]Sheet4!PivotTable4</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9.3568325279996548E-2"/>
              <c:y val="-0.104838946843248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050844268529192"/>
              <c:y val="4.259082215506968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9.2128812583381223E-2"/>
              <c:y val="0.1113913810209516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10652393954953457"/>
              <c:y val="0.111391381020951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0.10796345224614989"/>
              <c:y val="9.828651266554570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9.212881258338125E-2"/>
              <c:y val="-1.638108544425761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26251157560898758"/>
          <c:y val="0.23051953579873399"/>
          <c:w val="0.36665317363498579"/>
          <c:h val="0.61397111622839595"/>
        </c:manualLayout>
      </c:layout>
      <c:doughnutChart>
        <c:varyColors val="1"/>
        <c:ser>
          <c:idx val="0"/>
          <c:order val="0"/>
          <c:tx>
            <c:strRef>
              <c:f>Sheet4!$F$19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AF-4637-9B04-E705CB70DBA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AF-4637-9B04-E705CB70DBA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8AF-4637-9B04-E705CB70DBA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8AF-4637-9B04-E705CB70DBA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8AF-4637-9B04-E705CB70DBA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8AF-4637-9B04-E705CB70DBAC}"/>
              </c:ext>
            </c:extLst>
          </c:dPt>
          <c:dLbls>
            <c:dLbl>
              <c:idx val="0"/>
              <c:layout>
                <c:manualLayout>
                  <c:x val="9.3568325279996548E-2"/>
                  <c:y val="-0.104838946843248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8AF-4637-9B04-E705CB70DBAC}"/>
                </c:ext>
              </c:extLst>
            </c:dLbl>
            <c:dLbl>
              <c:idx val="1"/>
              <c:layout>
                <c:manualLayout>
                  <c:x val="0.1050844268529192"/>
                  <c:y val="4.25908221550696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AF-4637-9B04-E705CB70DBAC}"/>
                </c:ext>
              </c:extLst>
            </c:dLbl>
            <c:dLbl>
              <c:idx val="2"/>
              <c:layout>
                <c:manualLayout>
                  <c:x val="9.2128812583381223E-2"/>
                  <c:y val="0.111391381020951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8AF-4637-9B04-E705CB70DBAC}"/>
                </c:ext>
              </c:extLst>
            </c:dLbl>
            <c:dLbl>
              <c:idx val="3"/>
              <c:layout>
                <c:manualLayout>
                  <c:x val="-0.10652393954953457"/>
                  <c:y val="0.111391381020951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8AF-4637-9B04-E705CB70DBAC}"/>
                </c:ext>
              </c:extLst>
            </c:dLbl>
            <c:dLbl>
              <c:idx val="4"/>
              <c:layout>
                <c:manualLayout>
                  <c:x val="-0.10796345224614989"/>
                  <c:y val="9.828651266554570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8AF-4637-9B04-E705CB70DBAC}"/>
                </c:ext>
              </c:extLst>
            </c:dLbl>
            <c:dLbl>
              <c:idx val="5"/>
              <c:layout>
                <c:manualLayout>
                  <c:x val="-9.212881258338125E-2"/>
                  <c:y val="-1.63810854442576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8AF-4637-9B04-E705CB70DBA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Sheet4!$E$20:$E$26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Sheet4!$F$20:$F$26</c:f>
              <c:numCache>
                <c:formatCode>_ [$₹-449]\ * #,##0.00_ ;_ [$₹-449]\ * \-#,##0.00_ ;_ [$₹-449]\ * "-"??_ ;_ @_ </c:formatCode>
                <c:ptCount val="6"/>
                <c:pt idx="0">
                  <c:v>25478.092499999999</c:v>
                </c:pt>
                <c:pt idx="1">
                  <c:v>27877.814999999999</c:v>
                </c:pt>
                <c:pt idx="2">
                  <c:v>28327.918500000003</c:v>
                </c:pt>
                <c:pt idx="3">
                  <c:v>24748.814999999995</c:v>
                </c:pt>
                <c:pt idx="4">
                  <c:v>28487.025000000001</c:v>
                </c:pt>
                <c:pt idx="5">
                  <c:v>29645.416499999996</c:v>
                </c:pt>
              </c:numCache>
            </c:numRef>
          </c:val>
          <c:extLst>
            <c:ext xmlns:c16="http://schemas.microsoft.com/office/drawing/2014/chart" uri="{C3380CC4-5D6E-409C-BE32-E72D297353CC}">
              <c16:uniqueId val="{0000000C-D8AF-4637-9B04-E705CB70DBA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7963882966484288"/>
          <c:y val="0.22598932727138576"/>
          <c:w val="0.21172409415546511"/>
          <c:h val="0.5178801482397943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[SuperMarket.csv.xlsx]Sheet4!PivotTable6</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6193566351481"/>
          <c:y val="0.18346322532365814"/>
          <c:w val="0.73338607726847549"/>
          <c:h val="0.70925594160396177"/>
        </c:manualLayout>
      </c:layout>
      <c:barChart>
        <c:barDir val="bar"/>
        <c:grouping val="clustered"/>
        <c:varyColors val="0"/>
        <c:ser>
          <c:idx val="0"/>
          <c:order val="0"/>
          <c:tx>
            <c:strRef>
              <c:f>Sheet4!$N$13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Sheet4!$M$14:$M$17</c:f>
              <c:strCache>
                <c:ptCount val="3"/>
                <c:pt idx="0">
                  <c:v>Good</c:v>
                </c:pt>
                <c:pt idx="1">
                  <c:v>Super</c:v>
                </c:pt>
                <c:pt idx="2">
                  <c:v>Average</c:v>
                </c:pt>
              </c:strCache>
            </c:strRef>
          </c:cat>
          <c:val>
            <c:numRef>
              <c:f>Sheet4!$N$14:$N$17</c:f>
              <c:numCache>
                <c:formatCode>General</c:formatCode>
                <c:ptCount val="3"/>
                <c:pt idx="0">
                  <c:v>265</c:v>
                </c:pt>
                <c:pt idx="1">
                  <c:v>157</c:v>
                </c:pt>
                <c:pt idx="2">
                  <c:v>77</c:v>
                </c:pt>
              </c:numCache>
            </c:numRef>
          </c:val>
          <c:extLst>
            <c:ext xmlns:c16="http://schemas.microsoft.com/office/drawing/2014/chart" uri="{C3380CC4-5D6E-409C-BE32-E72D297353CC}">
              <c16:uniqueId val="{00000000-F933-4713-918D-0F41E0F8B1AF}"/>
            </c:ext>
          </c:extLst>
        </c:ser>
        <c:dLbls>
          <c:dLblPos val="ctr"/>
          <c:showLegendKey val="0"/>
          <c:showVal val="1"/>
          <c:showCatName val="0"/>
          <c:showSerName val="0"/>
          <c:showPercent val="0"/>
          <c:showBubbleSize val="0"/>
        </c:dLbls>
        <c:gapWidth val="269"/>
        <c:overlap val="-20"/>
        <c:axId val="1303723712"/>
        <c:axId val="1303728512"/>
      </c:barChart>
      <c:catAx>
        <c:axId val="130372371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03728512"/>
        <c:crosses val="autoZero"/>
        <c:auto val="1"/>
        <c:lblAlgn val="ctr"/>
        <c:lblOffset val="100"/>
        <c:noMultiLvlLbl val="0"/>
      </c:catAx>
      <c:valAx>
        <c:axId val="130372851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037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32198</xdr:colOff>
      <xdr:row>0</xdr:row>
      <xdr:rowOff>83820</xdr:rowOff>
    </xdr:from>
    <xdr:to>
      <xdr:col>24</xdr:col>
      <xdr:colOff>21464</xdr:colOff>
      <xdr:row>6</xdr:row>
      <xdr:rowOff>139521</xdr:rowOff>
    </xdr:to>
    <xdr:sp macro="" textlink="">
      <xdr:nvSpPr>
        <xdr:cNvPr id="2" name="Rectangle: Rounded Corners 1">
          <a:extLst>
            <a:ext uri="{FF2B5EF4-FFF2-40B4-BE49-F238E27FC236}">
              <a16:creationId xmlns:a16="http://schemas.microsoft.com/office/drawing/2014/main" id="{9FDB59B9-55D5-F615-6593-F073B0DC74C1}"/>
            </a:ext>
          </a:extLst>
        </xdr:cNvPr>
        <xdr:cNvSpPr/>
      </xdr:nvSpPr>
      <xdr:spPr>
        <a:xfrm>
          <a:off x="2382592" y="83820"/>
          <a:ext cx="14799971" cy="115040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a:solidFill>
                <a:schemeClr val="bg1">
                  <a:lumMod val="85000"/>
                </a:schemeClr>
              </a:solidFill>
            </a:rPr>
            <a:t>SALES</a:t>
          </a:r>
          <a:r>
            <a:rPr lang="en-US" sz="4400" b="1" baseline="0">
              <a:solidFill>
                <a:schemeClr val="bg1">
                  <a:lumMod val="85000"/>
                </a:schemeClr>
              </a:solidFill>
            </a:rPr>
            <a:t> DASHBOARD 2026</a:t>
          </a:r>
          <a:endParaRPr lang="en-US" sz="4400" b="1">
            <a:solidFill>
              <a:schemeClr val="bg1">
                <a:lumMod val="85000"/>
              </a:schemeClr>
            </a:solidFill>
          </a:endParaRPr>
        </a:p>
      </xdr:txBody>
    </xdr:sp>
    <xdr:clientData/>
  </xdr:twoCellAnchor>
  <xdr:twoCellAnchor>
    <xdr:from>
      <xdr:col>1</xdr:col>
      <xdr:colOff>403798</xdr:colOff>
      <xdr:row>9</xdr:row>
      <xdr:rowOff>89647</xdr:rowOff>
    </xdr:from>
    <xdr:to>
      <xdr:col>4</xdr:col>
      <xdr:colOff>132522</xdr:colOff>
      <xdr:row>15</xdr:row>
      <xdr:rowOff>120127</xdr:rowOff>
    </xdr:to>
    <xdr:sp macro="" textlink="">
      <xdr:nvSpPr>
        <xdr:cNvPr id="4" name="Rectangle: Single Corner Snipped 3">
          <a:extLst>
            <a:ext uri="{FF2B5EF4-FFF2-40B4-BE49-F238E27FC236}">
              <a16:creationId xmlns:a16="http://schemas.microsoft.com/office/drawing/2014/main" id="{37BC5CAA-9824-ECB3-0608-11062B1811D3}"/>
            </a:ext>
          </a:extLst>
        </xdr:cNvPr>
        <xdr:cNvSpPr/>
      </xdr:nvSpPr>
      <xdr:spPr>
        <a:xfrm>
          <a:off x="1013398" y="1759421"/>
          <a:ext cx="4121820" cy="1143663"/>
        </a:xfrm>
        <a:prstGeom prst="snip1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 SALES</a:t>
          </a:r>
        </a:p>
        <a:p>
          <a:pPr algn="ctr"/>
          <a:r>
            <a:rPr lang="en-US" sz="2000" b="1" i="0" u="none" strike="noStrike">
              <a:solidFill>
                <a:schemeClr val="tx1"/>
              </a:solidFill>
              <a:effectLst/>
              <a:latin typeface="+mn-lt"/>
              <a:ea typeface="+mn-ea"/>
              <a:cs typeface="+mn-cs"/>
            </a:rPr>
            <a:t>  </a:t>
          </a:r>
        </a:p>
        <a:p>
          <a:pPr algn="ctr"/>
          <a:r>
            <a:rPr lang="en-US" sz="2000" b="1" i="0" u="none" strike="noStrike">
              <a:solidFill>
                <a:schemeClr val="tx1"/>
              </a:solidFill>
              <a:effectLst/>
              <a:latin typeface="+mn-lt"/>
              <a:ea typeface="+mn-ea"/>
              <a:cs typeface="+mn-cs"/>
            </a:rPr>
            <a:t>     ₹ 164,565.08 </a:t>
          </a:r>
          <a:endParaRPr lang="en-US" sz="2000" b="1">
            <a:solidFill>
              <a:schemeClr val="tx1"/>
            </a:solidFill>
          </a:endParaRPr>
        </a:p>
      </xdr:txBody>
    </xdr:sp>
    <xdr:clientData/>
  </xdr:twoCellAnchor>
  <xdr:twoCellAnchor>
    <xdr:from>
      <xdr:col>4</xdr:col>
      <xdr:colOff>1142233</xdr:colOff>
      <xdr:row>9</xdr:row>
      <xdr:rowOff>94449</xdr:rowOff>
    </xdr:from>
    <xdr:to>
      <xdr:col>5</xdr:col>
      <xdr:colOff>1915379</xdr:colOff>
      <xdr:row>15</xdr:row>
      <xdr:rowOff>145819</xdr:rowOff>
    </xdr:to>
    <xdr:sp macro="" textlink="">
      <xdr:nvSpPr>
        <xdr:cNvPr id="5" name="Rectangle: Single Corner Snipped 4">
          <a:extLst>
            <a:ext uri="{FF2B5EF4-FFF2-40B4-BE49-F238E27FC236}">
              <a16:creationId xmlns:a16="http://schemas.microsoft.com/office/drawing/2014/main" id="{D4888A42-B254-4486-9DFD-2AC1821B1200}"/>
            </a:ext>
          </a:extLst>
        </xdr:cNvPr>
        <xdr:cNvSpPr/>
      </xdr:nvSpPr>
      <xdr:spPr>
        <a:xfrm>
          <a:off x="6149662" y="1686485"/>
          <a:ext cx="4011646" cy="1112727"/>
        </a:xfrm>
        <a:prstGeom prst="snip1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AVERAGE</a:t>
          </a:r>
          <a:r>
            <a:rPr lang="en-US" sz="2000" b="1" baseline="0">
              <a:solidFill>
                <a:schemeClr val="tx1"/>
              </a:solidFill>
            </a:rPr>
            <a:t> SALES</a:t>
          </a:r>
        </a:p>
        <a:p>
          <a:pPr algn="ctr"/>
          <a:endParaRPr lang="en-US" sz="2000" b="1" i="0" u="none" strike="noStrike" baseline="0">
            <a:solidFill>
              <a:schemeClr val="tx1"/>
            </a:solidFill>
            <a:effectLst/>
            <a:latin typeface="+mn-lt"/>
            <a:ea typeface="+mn-ea"/>
            <a:cs typeface="+mn-cs"/>
          </a:endParaRPr>
        </a:p>
        <a:p>
          <a:pPr algn="ctr"/>
          <a:r>
            <a:rPr lang="en-US" sz="2000" b="1" i="0">
              <a:solidFill>
                <a:schemeClr val="tx1"/>
              </a:solidFill>
              <a:effectLst/>
              <a:latin typeface="+mn-lt"/>
              <a:ea typeface="+mn-ea"/>
              <a:cs typeface="+mn-cs"/>
            </a:rPr>
            <a:t>₹</a:t>
          </a:r>
          <a:r>
            <a:rPr lang="en-US" sz="2000" b="1" i="0" u="none" strike="noStrike">
              <a:solidFill>
                <a:schemeClr val="tx1"/>
              </a:solidFill>
              <a:effectLst/>
              <a:latin typeface="+mn-lt"/>
              <a:ea typeface="+mn-ea"/>
              <a:cs typeface="+mn-cs"/>
            </a:rPr>
            <a:t>329.789</a:t>
          </a:r>
          <a:endParaRPr lang="en-US" sz="2000" b="1">
            <a:solidFill>
              <a:schemeClr val="tx1"/>
            </a:solidFill>
          </a:endParaRPr>
        </a:p>
      </xdr:txBody>
    </xdr:sp>
    <xdr:clientData/>
  </xdr:twoCellAnchor>
  <xdr:twoCellAnchor editAs="oneCell">
    <xdr:from>
      <xdr:col>14</xdr:col>
      <xdr:colOff>296195</xdr:colOff>
      <xdr:row>19</xdr:row>
      <xdr:rowOff>100357</xdr:rowOff>
    </xdr:from>
    <xdr:to>
      <xdr:col>23</xdr:col>
      <xdr:colOff>354724</xdr:colOff>
      <xdr:row>24</xdr:row>
      <xdr:rowOff>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02AD6083-794C-4AA5-A42A-7EAD342ABE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115006" y="5351979"/>
              <a:ext cx="5619069" cy="20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258380</xdr:colOff>
      <xdr:row>19</xdr:row>
      <xdr:rowOff>128589</xdr:rowOff>
    </xdr:from>
    <xdr:to>
      <xdr:col>9</xdr:col>
      <xdr:colOff>1557602</xdr:colOff>
      <xdr:row>25</xdr:row>
      <xdr:rowOff>65689</xdr:rowOff>
    </xdr:to>
    <mc:AlternateContent xmlns:mc="http://schemas.openxmlformats.org/markup-compatibility/2006">
      <mc:Choice xmlns:a14="http://schemas.microsoft.com/office/drawing/2010/main" Requires="a14">
        <xdr:graphicFrame macro="">
          <xdr:nvGraphicFramePr>
            <xdr:cNvPr id="8" name="MON">
              <a:extLst>
                <a:ext uri="{FF2B5EF4-FFF2-40B4-BE49-F238E27FC236}">
                  <a16:creationId xmlns:a16="http://schemas.microsoft.com/office/drawing/2014/main" id="{627B8A5B-7EC0-43B8-BEB9-217081255057}"/>
                </a:ext>
              </a:extLst>
            </xdr:cNvPr>
            <xdr:cNvGraphicFramePr/>
          </xdr:nvGraphicFramePr>
          <xdr:xfrm>
            <a:off x="0" y="0"/>
            <a:ext cx="0" cy="0"/>
          </xdr:xfrm>
          <a:graphic>
            <a:graphicData uri="http://schemas.microsoft.com/office/drawing/2010/slicer">
              <sle:slicer xmlns:sle="http://schemas.microsoft.com/office/drawing/2010/slicer" name="MON"/>
            </a:graphicData>
          </a:graphic>
        </xdr:graphicFrame>
      </mc:Choice>
      <mc:Fallback>
        <xdr:sp macro="" textlink="">
          <xdr:nvSpPr>
            <xdr:cNvPr id="0" name=""/>
            <xdr:cNvSpPr>
              <a:spLocks noTextEdit="1"/>
            </xdr:cNvSpPr>
          </xdr:nvSpPr>
          <xdr:spPr>
            <a:xfrm>
              <a:off x="13294758" y="5380211"/>
              <a:ext cx="3296898" cy="253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12760</xdr:colOff>
      <xdr:row>18</xdr:row>
      <xdr:rowOff>366778</xdr:rowOff>
    </xdr:from>
    <xdr:to>
      <xdr:col>13</xdr:col>
      <xdr:colOff>1386052</xdr:colOff>
      <xdr:row>24</xdr:row>
      <xdr:rowOff>394138</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9081F6D7-F488-46B8-8571-31153386164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8568490" y="5185913"/>
              <a:ext cx="3288589" cy="2622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259838</xdr:colOff>
      <xdr:row>27</xdr:row>
      <xdr:rowOff>142362</xdr:rowOff>
    </xdr:from>
    <xdr:to>
      <xdr:col>24</xdr:col>
      <xdr:colOff>295480</xdr:colOff>
      <xdr:row>63</xdr:row>
      <xdr:rowOff>24580</xdr:rowOff>
    </xdr:to>
    <xdr:graphicFrame macro="">
      <xdr:nvGraphicFramePr>
        <xdr:cNvPr id="10" name="Chart 9">
          <a:extLst>
            <a:ext uri="{FF2B5EF4-FFF2-40B4-BE49-F238E27FC236}">
              <a16:creationId xmlns:a16="http://schemas.microsoft.com/office/drawing/2014/main" id="{CC77DCCB-08A6-48FA-8BC5-37DF57013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96145</xdr:colOff>
      <xdr:row>29</xdr:row>
      <xdr:rowOff>27556</xdr:rowOff>
    </xdr:from>
    <xdr:to>
      <xdr:col>12</xdr:col>
      <xdr:colOff>1603375</xdr:colOff>
      <xdr:row>58</xdr:row>
      <xdr:rowOff>24580</xdr:rowOff>
    </xdr:to>
    <xdr:graphicFrame macro="">
      <xdr:nvGraphicFramePr>
        <xdr:cNvPr id="11" name="Chart 10">
          <a:extLst>
            <a:ext uri="{FF2B5EF4-FFF2-40B4-BE49-F238E27FC236}">
              <a16:creationId xmlns:a16="http://schemas.microsoft.com/office/drawing/2014/main" id="{A5D24FCA-8BE4-43D9-96CE-15CC3DADB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235702</xdr:colOff>
      <xdr:row>31</xdr:row>
      <xdr:rowOff>1395</xdr:rowOff>
    </xdr:from>
    <xdr:to>
      <xdr:col>5</xdr:col>
      <xdr:colOff>1539875</xdr:colOff>
      <xdr:row>55</xdr:row>
      <xdr:rowOff>73742</xdr:rowOff>
    </xdr:to>
    <xdr:graphicFrame macro="">
      <xdr:nvGraphicFramePr>
        <xdr:cNvPr id="12" name="Chart 11">
          <a:extLst>
            <a:ext uri="{FF2B5EF4-FFF2-40B4-BE49-F238E27FC236}">
              <a16:creationId xmlns:a16="http://schemas.microsoft.com/office/drawing/2014/main" id="{C16BC339-D593-487D-9296-5772522AA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vishnu" refreshedDate="46106.495446759262" createdVersion="8" refreshedVersion="8" minRefreshableVersion="3" recordCount="499" xr:uid="{350BD350-2DC1-4193-9FA5-CD39CFAFC821}">
  <cacheSource type="worksheet">
    <worksheetSource name="Sales"/>
  </cacheSource>
  <cacheFields count="15">
    <cacheField name="Branch" numFmtId="0">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59"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627" maxValue="49.65"/>
    </cacheField>
    <cacheField name="Sales" numFmtId="0">
      <sharedItems containsSemiMixedTypes="0" containsString="0" containsNumber="1" minValue="13.167" maxValue="1042.6500000000001" count="496">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sharedItems>
    </cacheField>
    <cacheField name="Date" numFmtId="165">
      <sharedItems containsSemiMixedTypes="0" containsNonDate="0" containsDate="1" containsString="0" minDate="2019-01-01T00:00:00" maxDate="2019-03-31T00:00:00"/>
    </cacheField>
    <cacheField name="Rating" numFmtId="0">
      <sharedItems containsSemiMixedTypes="0" containsString="0" containsNumber="1" minValue="4" maxValue="10"/>
    </cacheField>
    <cacheField name="Rating class" numFmtId="0">
      <sharedItems count="5">
        <s v="Super"/>
        <s v="Good"/>
        <s v="Average"/>
        <e v="#N/A" u="1"/>
        <s v="Moderate" u="1"/>
      </sharedItems>
    </cacheField>
    <cacheField name="month" numFmtId="0">
      <sharedItems containsSemiMixedTypes="0" containsString="0" containsNumber="1" containsInteger="1" minValue="1" maxValue="3"/>
    </cacheField>
    <cacheField name="MON" numFmtId="0">
      <sharedItems count="3">
        <s v="Jan"/>
        <s v="Mar"/>
        <s v="Feb"/>
      </sharedItems>
    </cacheField>
    <cacheField name="Year" numFmtId="0">
      <sharedItems containsSemiMixedTypes="0" containsString="0" containsNumber="1" containsInteger="1" minValue="2019" maxValue="2019"/>
    </cacheField>
  </cacheFields>
  <extLst>
    <ext xmlns:x14="http://schemas.microsoft.com/office/spreadsheetml/2009/9/main" uri="{725AE2AE-9491-48be-B2B4-4EB974FC3084}">
      <x14:pivotCacheDefinition pivotCacheId="14241941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vishnu" refreshedDate="46106.495446412038" backgroundQuery="1" createdVersion="8" refreshedVersion="8" minRefreshableVersion="3" recordCount="0" supportSubquery="1" supportAdvancedDrill="1" xr:uid="{991ECBD5-16A8-4E33-AA24-A0F2F89275CC}">
  <cacheSource type="external" connectionId="1"/>
  <cacheFields count="2">
    <cacheField name="[Sales].[City].[City]" caption="City" numFmtId="0" hierarchy="1" level="1">
      <sharedItems count="3">
        <s v="Mandalay"/>
        <s v="Naypyitaw"/>
        <s v="Yangon"/>
      </sharedItems>
    </cacheField>
    <cacheField name="[Measures].[Sum of Sales]" caption="Sum of Sales" numFmtId="0" hierarchy="21" level="32767"/>
  </cacheFields>
  <cacheHierarchies count="22">
    <cacheHierarchy uniqueName="[Sales].[Branch]" caption="Branch" attribute="1" defaultMemberUniqueName="[Sales].[Branch].[All]" allUniqueName="[Sales].[Branch].[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fieldsUsage count="2">
        <fieldUsage x="-1"/>
        <fieldUsage x="0"/>
      </fieldsUsage>
    </cacheHierarchy>
    <cacheHierarchy uniqueName="[Sales].[Customer type]" caption="Customer type" attribute="1" defaultMemberUniqueName="[Sales].[Customer type].[All]" allUniqueName="[Sales].[Customer type].[All]" dimensionUniqueName="[Sales]" displayFolder="" count="0" memberValueDatatype="130" unbalanced="0"/>
    <cacheHierarchy uniqueName="[Sales].[Gender]" caption="Gender" attribute="1" defaultMemberUniqueName="[Sales].[Gender].[All]" allUniqueName="[Sales].[Gender].[All]" dimensionUniqueName="[Sales]" displayFolder="" count="0" memberValueDatatype="130" unbalanced="0"/>
    <cacheHierarchy uniqueName="[Sales].[Product line]" caption="Product line" attribute="1" defaultMemberUniqueName="[Sales].[Product line].[All]" allUniqueName="[Sales].[Product line].[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ax 5%]" caption="Tax 5%" attribute="1" defaultMemberUniqueName="[Sales].[Tax 5%].[All]" allUniqueName="[Sales].[Tax 5%].[All]" dimensionUniqueName="[Sales]" displayFolder="" count="0" memberValueDatatype="5" unbalanced="0"/>
    <cacheHierarchy uniqueName="[Sales].[Sales]" caption="Sales" attribute="1" defaultMemberUniqueName="[Sales].[Sales].[All]" allUniqueName="[Sales].[Sales].[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Rating]" caption="Rating" attribute="1" defaultMemberUniqueName="[Sales].[Rating].[All]" allUniqueName="[Sales].[Rating].[All]" dimensionUniqueName="[Sales]" displayFolder="" count="0" memberValueDatatype="5" unbalanced="0"/>
    <cacheHierarchy uniqueName="[Sales].[Rating class]" caption="Rating class" attribute="1" defaultMemberUniqueName="[Sales].[Rating class].[All]" allUniqueName="[Sales].[Rating class].[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MON]" caption="MON" attribute="1" defaultMemberUniqueName="[Sales].[MON].[All]" allUniqueName="[Sales].[MON].[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Table3].[Total sales]" caption="Total sales" attribute="1" defaultMemberUniqueName="[Table3].[Total sales].[All]" allUniqueName="[Table3].[Total sales].[All]" dimensionUniqueName="[Table3]" displayFolder="" count="0" memberValueDatatype="130" unbalanced="0"/>
    <cacheHierarchy uniqueName="[Measures].[__XL_Count Sales]" caption="__XL_Count Sales" measure="1" displayFolder="" measureGroup="Sales"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Total sales]" caption="Count of Total sales" measure="1" displayFolder="" measureGroup="Table3" count="0" hidden="1">
      <extLst>
        <ext xmlns:x15="http://schemas.microsoft.com/office/spreadsheetml/2010/11/main" uri="{B97F6D7D-B522-45F9-BDA1-12C45D357490}">
          <x15:cacheHierarchy aggregatedColumn="15"/>
        </ext>
      </extLst>
    </cacheHierarchy>
    <cacheHierarchy uniqueName="[Measures].[Count of City]" caption="Count of City" measure="1" displayFolder="" measureGroup="Sale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Sales" uniqueName="[Sales]" caption="Sales"/>
    <dimension name="Table3" uniqueName="[Table3]" caption="Table3"/>
  </dimensions>
  <measureGroups count="2">
    <measureGroup name="Sales" caption="Sales"/>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Alex"/>
    <x v="0"/>
    <s v="Member"/>
    <x v="0"/>
    <x v="0"/>
    <n v="74.69"/>
    <n v="7"/>
    <n v="26.141500000000001"/>
    <x v="0"/>
    <d v="2019-01-05T00:00:00"/>
    <n v="9.1"/>
    <x v="0"/>
    <n v="1"/>
    <x v="0"/>
    <n v="2019"/>
  </r>
  <r>
    <s v="Giza"/>
    <x v="1"/>
    <s v="Normal"/>
    <x v="0"/>
    <x v="1"/>
    <n v="15.28"/>
    <n v="5"/>
    <n v="3.82"/>
    <x v="1"/>
    <d v="2019-03-08T00:00:00"/>
    <n v="9.6"/>
    <x v="0"/>
    <n v="3"/>
    <x v="1"/>
    <n v="2019"/>
  </r>
  <r>
    <s v="Alex"/>
    <x v="0"/>
    <s v="Normal"/>
    <x v="0"/>
    <x v="2"/>
    <n v="46.33"/>
    <n v="7"/>
    <n v="16.215499999999999"/>
    <x v="2"/>
    <d v="2019-03-03T00:00:00"/>
    <n v="7.4"/>
    <x v="1"/>
    <n v="3"/>
    <x v="1"/>
    <n v="2019"/>
  </r>
  <r>
    <s v="Alex"/>
    <x v="0"/>
    <s v="Member"/>
    <x v="0"/>
    <x v="0"/>
    <n v="58.22"/>
    <n v="8"/>
    <n v="23.288"/>
    <x v="3"/>
    <d v="2019-01-27T00:00:00"/>
    <n v="8.4"/>
    <x v="0"/>
    <n v="1"/>
    <x v="1"/>
    <n v="2019"/>
  </r>
  <r>
    <s v="Alex"/>
    <x v="0"/>
    <s v="Member"/>
    <x v="0"/>
    <x v="3"/>
    <n v="86.31"/>
    <n v="7"/>
    <n v="30.208500000000001"/>
    <x v="4"/>
    <d v="2019-02-08T00:00:00"/>
    <n v="5.3"/>
    <x v="1"/>
    <n v="2"/>
    <x v="0"/>
    <n v="2019"/>
  </r>
  <r>
    <s v="Giza"/>
    <x v="1"/>
    <s v="Member"/>
    <x v="0"/>
    <x v="1"/>
    <n v="85.39"/>
    <n v="7"/>
    <n v="29.886500000000002"/>
    <x v="5"/>
    <d v="2019-03-25T00:00:00"/>
    <n v="4.0999999999999996"/>
    <x v="2"/>
    <n v="3"/>
    <x v="2"/>
    <n v="2019"/>
  </r>
  <r>
    <s v="Alex"/>
    <x v="0"/>
    <s v="Member"/>
    <x v="0"/>
    <x v="1"/>
    <n v="68.84"/>
    <n v="6"/>
    <n v="20.652000000000001"/>
    <x v="6"/>
    <d v="2019-02-25T00:00:00"/>
    <n v="5.8"/>
    <x v="1"/>
    <n v="2"/>
    <x v="1"/>
    <n v="2019"/>
  </r>
  <r>
    <s v="Giza"/>
    <x v="1"/>
    <s v="Member"/>
    <x v="0"/>
    <x v="2"/>
    <n v="73.56"/>
    <n v="10"/>
    <n v="36.78"/>
    <x v="7"/>
    <d v="2019-02-24T00:00:00"/>
    <n v="8"/>
    <x v="1"/>
    <n v="2"/>
    <x v="2"/>
    <n v="2019"/>
  </r>
  <r>
    <s v="Alex"/>
    <x v="0"/>
    <s v="Member"/>
    <x v="0"/>
    <x v="0"/>
    <n v="36.26"/>
    <n v="2"/>
    <n v="3.6259999999999999"/>
    <x v="8"/>
    <d v="2019-01-10T00:00:00"/>
    <n v="7.2"/>
    <x v="1"/>
    <n v="1"/>
    <x v="2"/>
    <n v="2019"/>
  </r>
  <r>
    <s v="Cairo"/>
    <x v="2"/>
    <s v="Member"/>
    <x v="0"/>
    <x v="4"/>
    <n v="54.84"/>
    <n v="3"/>
    <n v="8.2260000000000009"/>
    <x v="9"/>
    <d v="2019-02-20T00:00:00"/>
    <n v="5.9"/>
    <x v="1"/>
    <n v="2"/>
    <x v="0"/>
    <n v="2019"/>
  </r>
  <r>
    <s v="Cairo"/>
    <x v="2"/>
    <s v="Member"/>
    <x v="0"/>
    <x v="5"/>
    <n v="14.48"/>
    <n v="4"/>
    <n v="2.8959999999999999"/>
    <x v="10"/>
    <d v="2019-02-06T00:00:00"/>
    <n v="4.5"/>
    <x v="2"/>
    <n v="2"/>
    <x v="2"/>
    <n v="2019"/>
  </r>
  <r>
    <s v="Cairo"/>
    <x v="2"/>
    <s v="Member"/>
    <x v="0"/>
    <x v="1"/>
    <n v="25.51"/>
    <n v="4"/>
    <n v="5.1020000000000003"/>
    <x v="11"/>
    <d v="2019-03-09T00:00:00"/>
    <n v="6.8"/>
    <x v="1"/>
    <n v="3"/>
    <x v="2"/>
    <n v="2019"/>
  </r>
  <r>
    <s v="Alex"/>
    <x v="0"/>
    <s v="Member"/>
    <x v="0"/>
    <x v="1"/>
    <n v="46.95"/>
    <n v="5"/>
    <n v="11.737500000000001"/>
    <x v="12"/>
    <d v="2019-02-12T00:00:00"/>
    <n v="7.1"/>
    <x v="1"/>
    <n v="2"/>
    <x v="1"/>
    <n v="2019"/>
  </r>
  <r>
    <s v="Alex"/>
    <x v="0"/>
    <s v="Member"/>
    <x v="0"/>
    <x v="4"/>
    <n v="43.19"/>
    <n v="10"/>
    <n v="21.594999999999999"/>
    <x v="13"/>
    <d v="2019-02-07T00:00:00"/>
    <n v="8.1999999999999993"/>
    <x v="0"/>
    <n v="2"/>
    <x v="2"/>
    <n v="2019"/>
  </r>
  <r>
    <s v="Alex"/>
    <x v="0"/>
    <s v="Member"/>
    <x v="0"/>
    <x v="0"/>
    <n v="71.38"/>
    <n v="10"/>
    <n v="35.69"/>
    <x v="14"/>
    <d v="2019-03-29T00:00:00"/>
    <n v="5.7"/>
    <x v="1"/>
    <n v="3"/>
    <x v="2"/>
    <n v="2019"/>
  </r>
  <r>
    <s v="Cairo"/>
    <x v="2"/>
    <s v="Member"/>
    <x v="0"/>
    <x v="3"/>
    <n v="93.72"/>
    <n v="6"/>
    <n v="28.116"/>
    <x v="15"/>
    <d v="2019-01-15T00:00:00"/>
    <n v="4.5"/>
    <x v="2"/>
    <n v="1"/>
    <x v="1"/>
    <n v="2019"/>
  </r>
  <r>
    <s v="Alex"/>
    <x v="0"/>
    <s v="Member"/>
    <x v="0"/>
    <x v="0"/>
    <n v="68.930000000000007"/>
    <n v="7"/>
    <n v="24.125499999999999"/>
    <x v="16"/>
    <d v="2019-03-11T00:00:00"/>
    <n v="4.5999999999999996"/>
    <x v="2"/>
    <n v="3"/>
    <x v="0"/>
    <n v="2019"/>
  </r>
  <r>
    <s v="Alex"/>
    <x v="0"/>
    <s v="Member"/>
    <x v="0"/>
    <x v="3"/>
    <n v="72.61"/>
    <n v="6"/>
    <n v="21.783000000000001"/>
    <x v="17"/>
    <d v="2019-01-01T00:00:00"/>
    <n v="6.9"/>
    <x v="1"/>
    <n v="1"/>
    <x v="1"/>
    <n v="2019"/>
  </r>
  <r>
    <s v="Alex"/>
    <x v="0"/>
    <s v="Member"/>
    <x v="0"/>
    <x v="4"/>
    <n v="54.67"/>
    <n v="3"/>
    <n v="8.2004999999999999"/>
    <x v="18"/>
    <d v="2019-01-21T00:00:00"/>
    <n v="8.6"/>
    <x v="0"/>
    <n v="1"/>
    <x v="0"/>
    <n v="2019"/>
  </r>
  <r>
    <s v="Cairo"/>
    <x v="2"/>
    <s v="Member"/>
    <x v="0"/>
    <x v="2"/>
    <n v="40.299999999999997"/>
    <n v="2"/>
    <n v="4.03"/>
    <x v="19"/>
    <d v="2019-03-11T00:00:00"/>
    <n v="4.4000000000000004"/>
    <x v="2"/>
    <n v="3"/>
    <x v="0"/>
    <n v="2019"/>
  </r>
  <r>
    <s v="Giza"/>
    <x v="1"/>
    <s v="Member"/>
    <x v="0"/>
    <x v="1"/>
    <n v="86.04"/>
    <n v="5"/>
    <n v="21.51"/>
    <x v="20"/>
    <d v="2019-02-25T00:00:00"/>
    <n v="4.8"/>
    <x v="2"/>
    <n v="2"/>
    <x v="1"/>
    <n v="2019"/>
  </r>
  <r>
    <s v="Cairo"/>
    <x v="2"/>
    <s v="Member"/>
    <x v="0"/>
    <x v="0"/>
    <n v="87.98"/>
    <n v="3"/>
    <n v="13.196999999999999"/>
    <x v="21"/>
    <d v="2019-03-05T00:00:00"/>
    <n v="5.0999999999999996"/>
    <x v="1"/>
    <n v="3"/>
    <x v="2"/>
    <n v="2019"/>
  </r>
  <r>
    <s v="Cairo"/>
    <x v="2"/>
    <s v="Member"/>
    <x v="0"/>
    <x v="2"/>
    <n v="33.200000000000003"/>
    <n v="2"/>
    <n v="3.32"/>
    <x v="22"/>
    <d v="2019-03-15T00:00:00"/>
    <n v="4.4000000000000004"/>
    <x v="2"/>
    <n v="3"/>
    <x v="1"/>
    <n v="2019"/>
  </r>
  <r>
    <s v="Alex"/>
    <x v="0"/>
    <s v="Member"/>
    <x v="0"/>
    <x v="1"/>
    <n v="34.56"/>
    <n v="5"/>
    <n v="8.64"/>
    <x v="23"/>
    <d v="2019-02-17T00:00:00"/>
    <n v="9.9"/>
    <x v="0"/>
    <n v="2"/>
    <x v="1"/>
    <n v="2019"/>
  </r>
  <r>
    <s v="Alex"/>
    <x v="0"/>
    <s v="Member"/>
    <x v="0"/>
    <x v="3"/>
    <n v="88.63"/>
    <n v="3"/>
    <n v="13.294499999999999"/>
    <x v="24"/>
    <d v="2019-03-02T00:00:00"/>
    <n v="6"/>
    <x v="1"/>
    <n v="3"/>
    <x v="2"/>
    <n v="2019"/>
  </r>
  <r>
    <s v="Alex"/>
    <x v="0"/>
    <s v="Member"/>
    <x v="0"/>
    <x v="2"/>
    <n v="52.59"/>
    <n v="8"/>
    <n v="21.036000000000001"/>
    <x v="25"/>
    <d v="2019-03-22T00:00:00"/>
    <n v="8.5"/>
    <x v="0"/>
    <n v="3"/>
    <x v="1"/>
    <n v="2019"/>
  </r>
  <r>
    <s v="Cairo"/>
    <x v="2"/>
    <s v="Member"/>
    <x v="0"/>
    <x v="5"/>
    <n v="33.520000000000003"/>
    <n v="1"/>
    <n v="1.6759999999999999"/>
    <x v="26"/>
    <d v="2019-02-08T00:00:00"/>
    <n v="6.7"/>
    <x v="1"/>
    <n v="2"/>
    <x v="1"/>
    <n v="2019"/>
  </r>
  <r>
    <s v="Alex"/>
    <x v="0"/>
    <s v="Member"/>
    <x v="0"/>
    <x v="5"/>
    <n v="87.67"/>
    <n v="2"/>
    <n v="8.7669999999999995"/>
    <x v="27"/>
    <d v="2019-03-10T00:00:00"/>
    <n v="7.7"/>
    <x v="1"/>
    <n v="3"/>
    <x v="2"/>
    <n v="2019"/>
  </r>
  <r>
    <s v="Cairo"/>
    <x v="2"/>
    <s v="Member"/>
    <x v="0"/>
    <x v="4"/>
    <n v="88.36"/>
    <n v="5"/>
    <n v="22.09"/>
    <x v="28"/>
    <d v="2019-01-25T00:00:00"/>
    <n v="9.6"/>
    <x v="0"/>
    <n v="1"/>
    <x v="1"/>
    <n v="2019"/>
  </r>
  <r>
    <s v="Alex"/>
    <x v="0"/>
    <s v="Member"/>
    <x v="0"/>
    <x v="0"/>
    <n v="24.89"/>
    <n v="9"/>
    <n v="11.2005"/>
    <x v="29"/>
    <d v="2019-03-15T00:00:00"/>
    <n v="7.4"/>
    <x v="1"/>
    <n v="3"/>
    <x v="0"/>
    <n v="2019"/>
  </r>
  <r>
    <s v="Cairo"/>
    <x v="2"/>
    <s v="Member"/>
    <x v="0"/>
    <x v="5"/>
    <n v="94.13"/>
    <n v="5"/>
    <n v="23.532499999999999"/>
    <x v="30"/>
    <d v="2019-02-25T00:00:00"/>
    <n v="4.8"/>
    <x v="2"/>
    <n v="2"/>
    <x v="1"/>
    <n v="2019"/>
  </r>
  <r>
    <s v="Cairo"/>
    <x v="2"/>
    <s v="Member"/>
    <x v="0"/>
    <x v="3"/>
    <n v="78.069999999999993"/>
    <n v="9"/>
    <n v="35.131500000000003"/>
    <x v="31"/>
    <d v="2019-01-28T00:00:00"/>
    <n v="4.5"/>
    <x v="2"/>
    <n v="1"/>
    <x v="2"/>
    <n v="2019"/>
  </r>
  <r>
    <s v="Cairo"/>
    <x v="2"/>
    <s v="Member"/>
    <x v="0"/>
    <x v="3"/>
    <n v="83.78"/>
    <n v="8"/>
    <n v="33.512"/>
    <x v="32"/>
    <d v="2019-01-10T00:00:00"/>
    <n v="5.0999999999999996"/>
    <x v="1"/>
    <n v="1"/>
    <x v="0"/>
    <n v="2019"/>
  </r>
  <r>
    <s v="Alex"/>
    <x v="0"/>
    <s v="Member"/>
    <x v="0"/>
    <x v="0"/>
    <n v="96.58"/>
    <n v="2"/>
    <n v="9.6579999999999995"/>
    <x v="33"/>
    <d v="2019-03-15T00:00:00"/>
    <n v="5.0999999999999996"/>
    <x v="1"/>
    <n v="3"/>
    <x v="0"/>
    <n v="2019"/>
  </r>
  <r>
    <s v="Giza"/>
    <x v="1"/>
    <s v="Member"/>
    <x v="0"/>
    <x v="4"/>
    <n v="99.42"/>
    <n v="4"/>
    <n v="19.884"/>
    <x v="34"/>
    <d v="2019-02-06T00:00:00"/>
    <n v="7.5"/>
    <x v="1"/>
    <n v="2"/>
    <x v="1"/>
    <n v="2019"/>
  </r>
  <r>
    <s v="Giza"/>
    <x v="1"/>
    <s v="Member"/>
    <x v="0"/>
    <x v="3"/>
    <n v="68.12"/>
    <n v="1"/>
    <n v="3.4060000000000001"/>
    <x v="35"/>
    <d v="2019-01-07T00:00:00"/>
    <n v="6.8"/>
    <x v="1"/>
    <n v="1"/>
    <x v="2"/>
    <n v="2019"/>
  </r>
  <r>
    <s v="Alex"/>
    <x v="0"/>
    <s v="Member"/>
    <x v="0"/>
    <x v="3"/>
    <n v="62.62"/>
    <n v="5"/>
    <n v="15.654999999999999"/>
    <x v="36"/>
    <d v="2019-03-10T00:00:00"/>
    <n v="7"/>
    <x v="1"/>
    <n v="3"/>
    <x v="0"/>
    <n v="2019"/>
  </r>
  <r>
    <s v="Alex"/>
    <x v="0"/>
    <s v="Member"/>
    <x v="0"/>
    <x v="1"/>
    <n v="60.88"/>
    <n v="9"/>
    <n v="27.396000000000001"/>
    <x v="37"/>
    <d v="2019-01-15T00:00:00"/>
    <n v="4.7"/>
    <x v="2"/>
    <n v="1"/>
    <x v="1"/>
    <n v="2019"/>
  </r>
  <r>
    <s v="Giza"/>
    <x v="1"/>
    <s v="Member"/>
    <x v="0"/>
    <x v="0"/>
    <n v="54.92"/>
    <n v="8"/>
    <n v="21.968"/>
    <x v="38"/>
    <d v="2019-03-23T00:00:00"/>
    <n v="7.6"/>
    <x v="1"/>
    <n v="3"/>
    <x v="0"/>
    <n v="2019"/>
  </r>
  <r>
    <s v="Cairo"/>
    <x v="2"/>
    <s v="Member"/>
    <x v="0"/>
    <x v="2"/>
    <n v="30.12"/>
    <n v="8"/>
    <n v="12.048"/>
    <x v="39"/>
    <d v="2019-03-03T00:00:00"/>
    <n v="7.7"/>
    <x v="1"/>
    <n v="3"/>
    <x v="1"/>
    <n v="2019"/>
  </r>
  <r>
    <s v="Cairo"/>
    <x v="2"/>
    <s v="Member"/>
    <x v="0"/>
    <x v="2"/>
    <n v="86.72"/>
    <n v="1"/>
    <n v="4.3360000000000003"/>
    <x v="40"/>
    <d v="2019-01-17T00:00:00"/>
    <n v="7.9"/>
    <x v="1"/>
    <n v="1"/>
    <x v="1"/>
    <n v="2019"/>
  </r>
  <r>
    <s v="Giza"/>
    <x v="1"/>
    <s v="Member"/>
    <x v="0"/>
    <x v="2"/>
    <n v="56.11"/>
    <n v="2"/>
    <n v="5.6109999999999998"/>
    <x v="41"/>
    <d v="2019-02-02T00:00:00"/>
    <n v="6.3"/>
    <x v="1"/>
    <n v="2"/>
    <x v="0"/>
    <n v="2019"/>
  </r>
  <r>
    <s v="Cairo"/>
    <x v="2"/>
    <s v="Member"/>
    <x v="0"/>
    <x v="3"/>
    <n v="69.12"/>
    <n v="6"/>
    <n v="20.736000000000001"/>
    <x v="42"/>
    <d v="2019-02-08T00:00:00"/>
    <n v="5.6"/>
    <x v="1"/>
    <n v="2"/>
    <x v="2"/>
    <n v="2019"/>
  </r>
  <r>
    <s v="Giza"/>
    <x v="1"/>
    <s v="Member"/>
    <x v="0"/>
    <x v="4"/>
    <n v="98.7"/>
    <n v="8"/>
    <n v="39.479999999999997"/>
    <x v="43"/>
    <d v="2019-03-04T00:00:00"/>
    <n v="7.6"/>
    <x v="1"/>
    <n v="3"/>
    <x v="2"/>
    <n v="2019"/>
  </r>
  <r>
    <s v="Giza"/>
    <x v="1"/>
    <s v="Member"/>
    <x v="0"/>
    <x v="0"/>
    <n v="15.37"/>
    <n v="2"/>
    <n v="1.5369999999999999"/>
    <x v="44"/>
    <d v="2019-03-16T00:00:00"/>
    <n v="7.2"/>
    <x v="1"/>
    <n v="3"/>
    <x v="1"/>
    <n v="2019"/>
  </r>
  <r>
    <s v="Cairo"/>
    <x v="2"/>
    <s v="Member"/>
    <x v="0"/>
    <x v="1"/>
    <n v="93.96"/>
    <n v="4"/>
    <n v="18.792000000000002"/>
    <x v="45"/>
    <d v="2019-03-09T00:00:00"/>
    <n v="9.5"/>
    <x v="0"/>
    <n v="3"/>
    <x v="1"/>
    <n v="2019"/>
  </r>
  <r>
    <s v="Cairo"/>
    <x v="2"/>
    <s v="Member"/>
    <x v="0"/>
    <x v="0"/>
    <n v="56.69"/>
    <n v="9"/>
    <n v="25.5105"/>
    <x v="46"/>
    <d v="2019-02-27T00:00:00"/>
    <n v="8.4"/>
    <x v="0"/>
    <n v="2"/>
    <x v="1"/>
    <n v="2019"/>
  </r>
  <r>
    <s v="Cairo"/>
    <x v="2"/>
    <s v="Member"/>
    <x v="0"/>
    <x v="4"/>
    <n v="20.010000000000002"/>
    <n v="9"/>
    <n v="9.0045000000000002"/>
    <x v="47"/>
    <d v="2019-02-06T00:00:00"/>
    <n v="4.0999999999999996"/>
    <x v="2"/>
    <n v="2"/>
    <x v="2"/>
    <n v="2019"/>
  </r>
  <r>
    <s v="Cairo"/>
    <x v="2"/>
    <s v="Member"/>
    <x v="0"/>
    <x v="1"/>
    <n v="18.93"/>
    <n v="6"/>
    <n v="5.6790000000000003"/>
    <x v="48"/>
    <d v="2019-02-10T00:00:00"/>
    <n v="8.1"/>
    <x v="0"/>
    <n v="2"/>
    <x v="2"/>
    <n v="2019"/>
  </r>
  <r>
    <s v="Giza"/>
    <x v="1"/>
    <s v="Member"/>
    <x v="0"/>
    <x v="5"/>
    <n v="82.63"/>
    <n v="10"/>
    <n v="41.314999999999998"/>
    <x v="49"/>
    <d v="2019-03-19T00:00:00"/>
    <n v="7.9"/>
    <x v="1"/>
    <n v="3"/>
    <x v="2"/>
    <n v="2019"/>
  </r>
  <r>
    <s v="Giza"/>
    <x v="1"/>
    <s v="Member"/>
    <x v="0"/>
    <x v="4"/>
    <n v="91.4"/>
    <n v="7"/>
    <n v="31.99"/>
    <x v="50"/>
    <d v="2019-02-03T00:00:00"/>
    <n v="9.5"/>
    <x v="0"/>
    <n v="2"/>
    <x v="1"/>
    <n v="2019"/>
  </r>
  <r>
    <s v="Alex"/>
    <x v="0"/>
    <s v="Member"/>
    <x v="0"/>
    <x v="4"/>
    <n v="44.59"/>
    <n v="5"/>
    <n v="11.147500000000001"/>
    <x v="51"/>
    <d v="2019-02-10T00:00:00"/>
    <n v="8.5"/>
    <x v="0"/>
    <n v="2"/>
    <x v="2"/>
    <n v="2019"/>
  </r>
  <r>
    <s v="Cairo"/>
    <x v="2"/>
    <s v="Member"/>
    <x v="0"/>
    <x v="5"/>
    <n v="17.87"/>
    <n v="4"/>
    <n v="3.5739999999999998"/>
    <x v="52"/>
    <d v="2019-03-22T00:00:00"/>
    <n v="6.5"/>
    <x v="1"/>
    <n v="3"/>
    <x v="2"/>
    <n v="2019"/>
  </r>
  <r>
    <s v="Giza"/>
    <x v="1"/>
    <s v="Member"/>
    <x v="0"/>
    <x v="5"/>
    <n v="15.43"/>
    <n v="1"/>
    <n v="0.77149999999999996"/>
    <x v="53"/>
    <d v="2019-01-25T00:00:00"/>
    <n v="6.1"/>
    <x v="1"/>
    <n v="1"/>
    <x v="1"/>
    <n v="2019"/>
  </r>
  <r>
    <s v="Cairo"/>
    <x v="2"/>
    <s v="Member"/>
    <x v="0"/>
    <x v="2"/>
    <n v="16.16"/>
    <n v="2"/>
    <n v="1.6160000000000001"/>
    <x v="54"/>
    <d v="2019-03-07T00:00:00"/>
    <n v="6.5"/>
    <x v="1"/>
    <n v="3"/>
    <x v="0"/>
    <n v="2019"/>
  </r>
  <r>
    <s v="Giza"/>
    <x v="1"/>
    <s v="Member"/>
    <x v="0"/>
    <x v="1"/>
    <n v="85.98"/>
    <n v="8"/>
    <n v="34.392000000000003"/>
    <x v="55"/>
    <d v="2019-02-28T00:00:00"/>
    <n v="8.1999999999999993"/>
    <x v="0"/>
    <n v="2"/>
    <x v="1"/>
    <n v="2019"/>
  </r>
  <r>
    <s v="Alex"/>
    <x v="0"/>
    <s v="Member"/>
    <x v="0"/>
    <x v="2"/>
    <n v="44.34"/>
    <n v="2"/>
    <n v="4.4340000000000002"/>
    <x v="56"/>
    <d v="2019-03-27T00:00:00"/>
    <n v="5.8"/>
    <x v="1"/>
    <n v="3"/>
    <x v="2"/>
    <n v="2019"/>
  </r>
  <r>
    <s v="Alex"/>
    <x v="0"/>
    <s v="Member"/>
    <x v="0"/>
    <x v="0"/>
    <n v="89.6"/>
    <n v="8"/>
    <n v="35.840000000000003"/>
    <x v="57"/>
    <d v="2019-02-07T00:00:00"/>
    <n v="6.6"/>
    <x v="1"/>
    <n v="2"/>
    <x v="1"/>
    <n v="2019"/>
  </r>
  <r>
    <s v="Alex"/>
    <x v="0"/>
    <s v="Member"/>
    <x v="0"/>
    <x v="2"/>
    <n v="72.349999999999994"/>
    <n v="10"/>
    <n v="36.174999999999997"/>
    <x v="58"/>
    <d v="2019-01-20T00:00:00"/>
    <n v="5.4"/>
    <x v="1"/>
    <n v="1"/>
    <x v="2"/>
    <n v="2019"/>
  </r>
  <r>
    <s v="Giza"/>
    <x v="1"/>
    <s v="Member"/>
    <x v="0"/>
    <x v="1"/>
    <n v="30.61"/>
    <n v="6"/>
    <n v="9.1829999999999998"/>
    <x v="59"/>
    <d v="2019-03-12T00:00:00"/>
    <n v="9.3000000000000007"/>
    <x v="0"/>
    <n v="3"/>
    <x v="0"/>
    <n v="2019"/>
  </r>
  <r>
    <s v="Giza"/>
    <x v="1"/>
    <s v="Member"/>
    <x v="0"/>
    <x v="3"/>
    <n v="24.74"/>
    <n v="3"/>
    <n v="3.7109999999999999"/>
    <x v="60"/>
    <d v="2019-02-15T00:00:00"/>
    <n v="10"/>
    <x v="0"/>
    <n v="2"/>
    <x v="1"/>
    <n v="2019"/>
  </r>
  <r>
    <s v="Giza"/>
    <x v="1"/>
    <s v="Member"/>
    <x v="0"/>
    <x v="2"/>
    <n v="55.73"/>
    <n v="6"/>
    <n v="16.719000000000001"/>
    <x v="61"/>
    <d v="2019-02-24T00:00:00"/>
    <n v="7"/>
    <x v="1"/>
    <n v="2"/>
    <x v="2"/>
    <n v="2019"/>
  </r>
  <r>
    <s v="Cairo"/>
    <x v="2"/>
    <s v="Member"/>
    <x v="0"/>
    <x v="3"/>
    <n v="55.07"/>
    <n v="9"/>
    <n v="24.781500000000001"/>
    <x v="62"/>
    <d v="2019-02-03T00:00:00"/>
    <n v="10"/>
    <x v="0"/>
    <n v="2"/>
    <x v="2"/>
    <n v="2019"/>
  </r>
  <r>
    <s v="Alex"/>
    <x v="0"/>
    <s v="Member"/>
    <x v="0"/>
    <x v="3"/>
    <n v="15.81"/>
    <n v="10"/>
    <n v="7.9050000000000002"/>
    <x v="63"/>
    <d v="2019-03-06T00:00:00"/>
    <n v="8.6"/>
    <x v="0"/>
    <n v="3"/>
    <x v="2"/>
    <n v="2019"/>
  </r>
  <r>
    <s v="Cairo"/>
    <x v="2"/>
    <s v="Member"/>
    <x v="0"/>
    <x v="0"/>
    <n v="75.739999999999995"/>
    <n v="4"/>
    <n v="15.148"/>
    <x v="64"/>
    <d v="2019-02-14T00:00:00"/>
    <n v="7.6"/>
    <x v="1"/>
    <n v="2"/>
    <x v="1"/>
    <n v="2019"/>
  </r>
  <r>
    <s v="Alex"/>
    <x v="0"/>
    <s v="Member"/>
    <x v="0"/>
    <x v="0"/>
    <n v="15.87"/>
    <n v="10"/>
    <n v="7.9349999999999996"/>
    <x v="65"/>
    <d v="2019-03-13T00:00:00"/>
    <n v="5.8"/>
    <x v="1"/>
    <n v="3"/>
    <x v="2"/>
    <n v="2019"/>
  </r>
  <r>
    <s v="Giza"/>
    <x v="1"/>
    <s v="Member"/>
    <x v="0"/>
    <x v="0"/>
    <n v="33.47"/>
    <n v="2"/>
    <n v="3.347"/>
    <x v="66"/>
    <d v="2019-02-10T00:00:00"/>
    <n v="6.7"/>
    <x v="1"/>
    <n v="2"/>
    <x v="1"/>
    <n v="2019"/>
  </r>
  <r>
    <s v="Cairo"/>
    <x v="2"/>
    <s v="Member"/>
    <x v="0"/>
    <x v="5"/>
    <n v="97.61"/>
    <n v="6"/>
    <n v="29.283000000000001"/>
    <x v="67"/>
    <d v="2019-01-07T00:00:00"/>
    <n v="9.9"/>
    <x v="0"/>
    <n v="1"/>
    <x v="2"/>
    <n v="2019"/>
  </r>
  <r>
    <s v="Alex"/>
    <x v="0"/>
    <s v="Member"/>
    <x v="0"/>
    <x v="3"/>
    <n v="78.77"/>
    <n v="10"/>
    <n v="39.384999999999998"/>
    <x v="68"/>
    <d v="2019-01-24T00:00:00"/>
    <n v="6.4"/>
    <x v="1"/>
    <n v="1"/>
    <x v="0"/>
    <n v="2019"/>
  </r>
  <r>
    <s v="Alex"/>
    <x v="0"/>
    <s v="Member"/>
    <x v="0"/>
    <x v="0"/>
    <n v="18.329999999999998"/>
    <n v="1"/>
    <n v="0.91649999999999998"/>
    <x v="69"/>
    <d v="2019-02-02T00:00:00"/>
    <n v="4.3"/>
    <x v="2"/>
    <n v="2"/>
    <x v="0"/>
    <n v="2019"/>
  </r>
  <r>
    <s v="Giza"/>
    <x v="1"/>
    <s v="Member"/>
    <x v="0"/>
    <x v="4"/>
    <n v="89.48"/>
    <n v="10"/>
    <n v="44.74"/>
    <x v="70"/>
    <d v="2019-01-06T00:00:00"/>
    <n v="9.6"/>
    <x v="0"/>
    <n v="1"/>
    <x v="2"/>
    <n v="2019"/>
  </r>
  <r>
    <s v="Giza"/>
    <x v="1"/>
    <s v="Member"/>
    <x v="0"/>
    <x v="5"/>
    <n v="62.12"/>
    <n v="10"/>
    <n v="31.06"/>
    <x v="71"/>
    <d v="2019-02-11T00:00:00"/>
    <n v="5.9"/>
    <x v="1"/>
    <n v="2"/>
    <x v="0"/>
    <n v="2019"/>
  </r>
  <r>
    <s v="Cairo"/>
    <x v="2"/>
    <s v="Member"/>
    <x v="0"/>
    <x v="4"/>
    <n v="48.52"/>
    <n v="3"/>
    <n v="7.2779999999999996"/>
    <x v="72"/>
    <d v="2019-03-05T00:00:00"/>
    <n v="4"/>
    <x v="2"/>
    <n v="3"/>
    <x v="2"/>
    <n v="2019"/>
  </r>
  <r>
    <s v="Giza"/>
    <x v="1"/>
    <s v="Member"/>
    <x v="0"/>
    <x v="1"/>
    <n v="75.91"/>
    <n v="6"/>
    <n v="22.773"/>
    <x v="73"/>
    <d v="2019-03-09T00:00:00"/>
    <n v="8.6999999999999993"/>
    <x v="0"/>
    <n v="3"/>
    <x v="1"/>
    <n v="2019"/>
  </r>
  <r>
    <s v="Alex"/>
    <x v="0"/>
    <s v="Member"/>
    <x v="0"/>
    <x v="2"/>
    <n v="74.67"/>
    <n v="9"/>
    <n v="33.601500000000001"/>
    <x v="74"/>
    <d v="2019-01-22T00:00:00"/>
    <n v="9.4"/>
    <x v="0"/>
    <n v="1"/>
    <x v="1"/>
    <n v="2019"/>
  </r>
  <r>
    <s v="Giza"/>
    <x v="1"/>
    <s v="Member"/>
    <x v="0"/>
    <x v="1"/>
    <n v="41.65"/>
    <n v="10"/>
    <n v="20.824999999999999"/>
    <x v="75"/>
    <d v="2019-01-13T00:00:00"/>
    <n v="5.4"/>
    <x v="1"/>
    <n v="1"/>
    <x v="0"/>
    <n v="2019"/>
  </r>
  <r>
    <s v="Giza"/>
    <x v="1"/>
    <s v="Member"/>
    <x v="0"/>
    <x v="5"/>
    <n v="49.04"/>
    <n v="9"/>
    <n v="22.068000000000001"/>
    <x v="76"/>
    <d v="2019-01-09T00:00:00"/>
    <n v="8.6"/>
    <x v="0"/>
    <n v="1"/>
    <x v="0"/>
    <n v="2019"/>
  </r>
  <r>
    <s v="Alex"/>
    <x v="0"/>
    <s v="Member"/>
    <x v="0"/>
    <x v="5"/>
    <n v="20.010000000000002"/>
    <n v="9"/>
    <n v="9.0045000000000002"/>
    <x v="47"/>
    <d v="2019-01-12T00:00:00"/>
    <n v="5.7"/>
    <x v="1"/>
    <n v="1"/>
    <x v="0"/>
    <n v="2019"/>
  </r>
  <r>
    <s v="Giza"/>
    <x v="1"/>
    <s v="Member"/>
    <x v="0"/>
    <x v="4"/>
    <n v="78.31"/>
    <n v="10"/>
    <n v="39.155000000000001"/>
    <x v="77"/>
    <d v="2019-03-05T00:00:00"/>
    <n v="6.6"/>
    <x v="1"/>
    <n v="3"/>
    <x v="0"/>
    <n v="2019"/>
  </r>
  <r>
    <s v="Giza"/>
    <x v="1"/>
    <s v="Member"/>
    <x v="0"/>
    <x v="0"/>
    <n v="20.38"/>
    <n v="5"/>
    <n v="5.0949999999999998"/>
    <x v="78"/>
    <d v="2019-01-22T00:00:00"/>
    <n v="6"/>
    <x v="1"/>
    <n v="1"/>
    <x v="1"/>
    <n v="2019"/>
  </r>
  <r>
    <s v="Giza"/>
    <x v="1"/>
    <s v="Member"/>
    <x v="0"/>
    <x v="0"/>
    <n v="99.19"/>
    <n v="6"/>
    <n v="29.757000000000001"/>
    <x v="79"/>
    <d v="2019-01-21T00:00:00"/>
    <n v="5.5"/>
    <x v="1"/>
    <n v="1"/>
    <x v="0"/>
    <n v="2019"/>
  </r>
  <r>
    <s v="Cairo"/>
    <x v="2"/>
    <s v="Member"/>
    <x v="0"/>
    <x v="4"/>
    <n v="96.68"/>
    <n v="3"/>
    <n v="14.502000000000001"/>
    <x v="80"/>
    <d v="2019-01-26T00:00:00"/>
    <n v="6.4"/>
    <x v="1"/>
    <n v="1"/>
    <x v="0"/>
    <n v="2019"/>
  </r>
  <r>
    <s v="Giza"/>
    <x v="1"/>
    <s v="Member"/>
    <x v="0"/>
    <x v="4"/>
    <n v="19.25"/>
    <n v="8"/>
    <n v="7.7"/>
    <x v="81"/>
    <d v="2019-01-23T00:00:00"/>
    <n v="6.6"/>
    <x v="1"/>
    <n v="1"/>
    <x v="0"/>
    <n v="2019"/>
  </r>
  <r>
    <s v="Giza"/>
    <x v="1"/>
    <s v="Member"/>
    <x v="0"/>
    <x v="4"/>
    <n v="80.36"/>
    <n v="4"/>
    <n v="16.071999999999999"/>
    <x v="82"/>
    <d v="2019-02-23T00:00:00"/>
    <n v="8.3000000000000007"/>
    <x v="0"/>
    <n v="2"/>
    <x v="0"/>
    <n v="2019"/>
  </r>
  <r>
    <s v="Giza"/>
    <x v="1"/>
    <s v="Member"/>
    <x v="0"/>
    <x v="3"/>
    <n v="48.91"/>
    <n v="5"/>
    <n v="12.227499999999999"/>
    <x v="83"/>
    <d v="2019-03-09T00:00:00"/>
    <n v="6.6"/>
    <x v="1"/>
    <n v="3"/>
    <x v="2"/>
    <n v="2019"/>
  </r>
  <r>
    <s v="Giza"/>
    <x v="1"/>
    <s v="Member"/>
    <x v="0"/>
    <x v="3"/>
    <n v="83.06"/>
    <n v="7"/>
    <n v="29.071000000000002"/>
    <x v="84"/>
    <d v="2019-03-05T00:00:00"/>
    <n v="4"/>
    <x v="2"/>
    <n v="3"/>
    <x v="1"/>
    <n v="2019"/>
  </r>
  <r>
    <s v="Giza"/>
    <x v="1"/>
    <s v="Member"/>
    <x v="0"/>
    <x v="5"/>
    <n v="76.52"/>
    <n v="5"/>
    <n v="19.13"/>
    <x v="85"/>
    <d v="2019-03-25T00:00:00"/>
    <n v="9.9"/>
    <x v="0"/>
    <n v="3"/>
    <x v="1"/>
    <n v="2019"/>
  </r>
  <r>
    <s v="Alex"/>
    <x v="0"/>
    <s v="Member"/>
    <x v="0"/>
    <x v="4"/>
    <n v="49.38"/>
    <n v="7"/>
    <n v="17.283000000000001"/>
    <x v="86"/>
    <d v="2019-03-27T00:00:00"/>
    <n v="7.3"/>
    <x v="1"/>
    <n v="3"/>
    <x v="1"/>
    <n v="2019"/>
  </r>
  <r>
    <s v="Alex"/>
    <x v="0"/>
    <s v="Member"/>
    <x v="0"/>
    <x v="3"/>
    <n v="42.47"/>
    <n v="1"/>
    <n v="2.1234999999999999"/>
    <x v="87"/>
    <d v="2019-01-02T00:00:00"/>
    <n v="5.7"/>
    <x v="1"/>
    <n v="1"/>
    <x v="1"/>
    <n v="2019"/>
  </r>
  <r>
    <s v="Cairo"/>
    <x v="2"/>
    <s v="Member"/>
    <x v="0"/>
    <x v="0"/>
    <n v="76.989999999999995"/>
    <n v="6"/>
    <n v="23.097000000000001"/>
    <x v="88"/>
    <d v="2019-02-27T00:00:00"/>
    <n v="6.1"/>
    <x v="1"/>
    <n v="2"/>
    <x v="0"/>
    <n v="2019"/>
  </r>
  <r>
    <s v="Giza"/>
    <x v="1"/>
    <s v="Member"/>
    <x v="0"/>
    <x v="2"/>
    <n v="47.38"/>
    <n v="4"/>
    <n v="9.4760000000000009"/>
    <x v="89"/>
    <d v="2019-01-23T00:00:00"/>
    <n v="7.1"/>
    <x v="1"/>
    <n v="1"/>
    <x v="2"/>
    <n v="2019"/>
  </r>
  <r>
    <s v="Giza"/>
    <x v="1"/>
    <s v="Member"/>
    <x v="0"/>
    <x v="3"/>
    <n v="44.86"/>
    <n v="10"/>
    <n v="22.43"/>
    <x v="90"/>
    <d v="2019-01-26T00:00:00"/>
    <n v="8.1999999999999993"/>
    <x v="0"/>
    <n v="1"/>
    <x v="0"/>
    <n v="2019"/>
  </r>
  <r>
    <s v="Alex"/>
    <x v="0"/>
    <s v="Member"/>
    <x v="0"/>
    <x v="3"/>
    <n v="21.98"/>
    <n v="7"/>
    <n v="7.6929999999999996"/>
    <x v="91"/>
    <d v="2019-01-10T00:00:00"/>
    <n v="5.0999999999999996"/>
    <x v="1"/>
    <n v="1"/>
    <x v="0"/>
    <n v="2019"/>
  </r>
  <r>
    <s v="Cairo"/>
    <x v="2"/>
    <s v="Member"/>
    <x v="0"/>
    <x v="0"/>
    <n v="64.36"/>
    <n v="9"/>
    <n v="28.962"/>
    <x v="92"/>
    <d v="2019-03-12T00:00:00"/>
    <n v="8.6"/>
    <x v="0"/>
    <n v="3"/>
    <x v="0"/>
    <n v="2019"/>
  </r>
  <r>
    <s v="Giza"/>
    <x v="1"/>
    <s v="Member"/>
    <x v="0"/>
    <x v="0"/>
    <n v="89.75"/>
    <n v="1"/>
    <n v="4.4874999999999998"/>
    <x v="93"/>
    <d v="2019-02-06T00:00:00"/>
    <n v="6.6"/>
    <x v="1"/>
    <n v="2"/>
    <x v="1"/>
    <n v="2019"/>
  </r>
  <r>
    <s v="Alex"/>
    <x v="0"/>
    <s v="Member"/>
    <x v="0"/>
    <x v="1"/>
    <n v="97.16"/>
    <n v="1"/>
    <n v="4.8579999999999997"/>
    <x v="94"/>
    <d v="2019-03-08T00:00:00"/>
    <n v="7.2"/>
    <x v="1"/>
    <n v="3"/>
    <x v="2"/>
    <n v="2019"/>
  </r>
  <r>
    <s v="Cairo"/>
    <x v="2"/>
    <s v="Member"/>
    <x v="0"/>
    <x v="0"/>
    <n v="87.87"/>
    <n v="10"/>
    <n v="43.935000000000002"/>
    <x v="95"/>
    <d v="2019-03-29T00:00:00"/>
    <n v="5.0999999999999996"/>
    <x v="1"/>
    <n v="3"/>
    <x v="1"/>
    <n v="2019"/>
  </r>
  <r>
    <s v="Giza"/>
    <x v="1"/>
    <s v="Member"/>
    <x v="0"/>
    <x v="1"/>
    <n v="12.45"/>
    <n v="6"/>
    <n v="3.7349999999999999"/>
    <x v="96"/>
    <d v="2019-02-09T00:00:00"/>
    <n v="4.0999999999999996"/>
    <x v="2"/>
    <n v="2"/>
    <x v="1"/>
    <n v="2019"/>
  </r>
  <r>
    <s v="Alex"/>
    <x v="0"/>
    <s v="Member"/>
    <x v="0"/>
    <x v="4"/>
    <n v="52.75"/>
    <n v="3"/>
    <n v="7.9124999999999996"/>
    <x v="97"/>
    <d v="2019-03-23T00:00:00"/>
    <n v="9.3000000000000007"/>
    <x v="0"/>
    <n v="3"/>
    <x v="2"/>
    <n v="2019"/>
  </r>
  <r>
    <s v="Cairo"/>
    <x v="2"/>
    <s v="Member"/>
    <x v="0"/>
    <x v="2"/>
    <n v="82.7"/>
    <n v="6"/>
    <n v="24.81"/>
    <x v="98"/>
    <d v="2019-03-05T00:00:00"/>
    <n v="7.4"/>
    <x v="1"/>
    <n v="3"/>
    <x v="1"/>
    <n v="2019"/>
  </r>
  <r>
    <s v="Giza"/>
    <x v="1"/>
    <s v="Member"/>
    <x v="0"/>
    <x v="5"/>
    <n v="48.71"/>
    <n v="1"/>
    <n v="2.4355000000000002"/>
    <x v="99"/>
    <d v="2019-03-26T00:00:00"/>
    <n v="4.0999999999999996"/>
    <x v="2"/>
    <n v="3"/>
    <x v="1"/>
    <n v="2019"/>
  </r>
  <r>
    <s v="Giza"/>
    <x v="1"/>
    <s v="Member"/>
    <x v="0"/>
    <x v="5"/>
    <n v="78.55"/>
    <n v="9"/>
    <n v="35.347499999999997"/>
    <x v="100"/>
    <d v="2019-03-01T00:00:00"/>
    <n v="7.2"/>
    <x v="1"/>
    <n v="3"/>
    <x v="1"/>
    <n v="2019"/>
  </r>
  <r>
    <s v="Giza"/>
    <x v="1"/>
    <s v="Member"/>
    <x v="0"/>
    <x v="1"/>
    <n v="23.07"/>
    <n v="9"/>
    <n v="10.381500000000001"/>
    <x v="101"/>
    <d v="2019-02-01T00:00:00"/>
    <n v="4.9000000000000004"/>
    <x v="2"/>
    <n v="2"/>
    <x v="1"/>
    <n v="2019"/>
  </r>
  <r>
    <s v="Alex"/>
    <x v="0"/>
    <s v="Member"/>
    <x v="0"/>
    <x v="4"/>
    <n v="58.26"/>
    <n v="6"/>
    <n v="17.478000000000002"/>
    <x v="102"/>
    <d v="2019-03-28T00:00:00"/>
    <n v="9.9"/>
    <x v="0"/>
    <n v="3"/>
    <x v="2"/>
    <n v="2019"/>
  </r>
  <r>
    <s v="Cairo"/>
    <x v="2"/>
    <s v="Member"/>
    <x v="0"/>
    <x v="0"/>
    <n v="30.35"/>
    <n v="7"/>
    <n v="10.6225"/>
    <x v="103"/>
    <d v="2019-03-19T00:00:00"/>
    <n v="8"/>
    <x v="1"/>
    <n v="3"/>
    <x v="1"/>
    <n v="2019"/>
  </r>
  <r>
    <s v="Alex"/>
    <x v="0"/>
    <s v="Member"/>
    <x v="0"/>
    <x v="1"/>
    <n v="88.67"/>
    <n v="10"/>
    <n v="44.335000000000001"/>
    <x v="104"/>
    <d v="2019-01-12T00:00:00"/>
    <n v="7.3"/>
    <x v="1"/>
    <n v="1"/>
    <x v="1"/>
    <n v="2019"/>
  </r>
  <r>
    <s v="Giza"/>
    <x v="1"/>
    <s v="Member"/>
    <x v="0"/>
    <x v="5"/>
    <n v="27.38"/>
    <n v="6"/>
    <n v="8.2140000000000004"/>
    <x v="105"/>
    <d v="2019-01-05T00:00:00"/>
    <n v="7.9"/>
    <x v="1"/>
    <n v="1"/>
    <x v="0"/>
    <n v="2019"/>
  </r>
  <r>
    <s v="Alex"/>
    <x v="0"/>
    <s v="Member"/>
    <x v="0"/>
    <x v="3"/>
    <n v="62.13"/>
    <n v="6"/>
    <n v="18.638999999999999"/>
    <x v="106"/>
    <d v="2019-03-22T00:00:00"/>
    <n v="7.4"/>
    <x v="1"/>
    <n v="3"/>
    <x v="0"/>
    <n v="2019"/>
  </r>
  <r>
    <s v="Giza"/>
    <x v="1"/>
    <s v="Member"/>
    <x v="0"/>
    <x v="4"/>
    <n v="33.979999999999997"/>
    <n v="9"/>
    <n v="15.291"/>
    <x v="107"/>
    <d v="2019-03-24T00:00:00"/>
    <n v="4.2"/>
    <x v="2"/>
    <n v="3"/>
    <x v="1"/>
    <n v="2019"/>
  </r>
  <r>
    <s v="Giza"/>
    <x v="1"/>
    <s v="Member"/>
    <x v="0"/>
    <x v="1"/>
    <n v="81.97"/>
    <n v="10"/>
    <n v="40.984999999999999"/>
    <x v="108"/>
    <d v="2019-03-03T00:00:00"/>
    <n v="9.1999999999999993"/>
    <x v="0"/>
    <n v="3"/>
    <x v="1"/>
    <n v="2019"/>
  </r>
  <r>
    <s v="Cairo"/>
    <x v="2"/>
    <s v="Member"/>
    <x v="0"/>
    <x v="3"/>
    <n v="16.489999999999998"/>
    <n v="2"/>
    <n v="1.649"/>
    <x v="109"/>
    <d v="2019-02-05T00:00:00"/>
    <n v="4.5999999999999996"/>
    <x v="2"/>
    <n v="2"/>
    <x v="1"/>
    <n v="2019"/>
  </r>
  <r>
    <s v="Giza"/>
    <x v="1"/>
    <s v="Member"/>
    <x v="0"/>
    <x v="0"/>
    <n v="98.21"/>
    <n v="3"/>
    <n v="14.7315"/>
    <x v="110"/>
    <d v="2019-02-05T00:00:00"/>
    <n v="7.8"/>
    <x v="1"/>
    <n v="2"/>
    <x v="2"/>
    <n v="2019"/>
  </r>
  <r>
    <s v="Cairo"/>
    <x v="2"/>
    <s v="Member"/>
    <x v="0"/>
    <x v="5"/>
    <n v="72.84"/>
    <n v="7"/>
    <n v="25.494"/>
    <x v="111"/>
    <d v="2019-02-15T00:00:00"/>
    <n v="8.4"/>
    <x v="0"/>
    <n v="2"/>
    <x v="2"/>
    <n v="2019"/>
  </r>
  <r>
    <s v="Alex"/>
    <x v="0"/>
    <s v="Member"/>
    <x v="0"/>
    <x v="2"/>
    <n v="58.07"/>
    <n v="9"/>
    <n v="26.131499999999999"/>
    <x v="112"/>
    <d v="2019-01-19T00:00:00"/>
    <n v="4.3"/>
    <x v="2"/>
    <n v="1"/>
    <x v="2"/>
    <n v="2019"/>
  </r>
  <r>
    <s v="Giza"/>
    <x v="1"/>
    <s v="Member"/>
    <x v="0"/>
    <x v="2"/>
    <n v="80.790000000000006"/>
    <n v="9"/>
    <n v="36.355499999999999"/>
    <x v="113"/>
    <d v="2019-02-01T00:00:00"/>
    <n v="9.5"/>
    <x v="0"/>
    <n v="2"/>
    <x v="0"/>
    <n v="2019"/>
  </r>
  <r>
    <s v="Giza"/>
    <x v="1"/>
    <s v="Member"/>
    <x v="0"/>
    <x v="5"/>
    <n v="27.02"/>
    <n v="3"/>
    <n v="4.0529999999999999"/>
    <x v="114"/>
    <d v="2019-03-02T00:00:00"/>
    <n v="7.1"/>
    <x v="1"/>
    <n v="3"/>
    <x v="2"/>
    <n v="2019"/>
  </r>
  <r>
    <s v="Cairo"/>
    <x v="2"/>
    <s v="Member"/>
    <x v="0"/>
    <x v="5"/>
    <n v="21.94"/>
    <n v="5"/>
    <n v="5.4850000000000003"/>
    <x v="115"/>
    <d v="2019-03-05T00:00:00"/>
    <n v="5.3"/>
    <x v="1"/>
    <n v="3"/>
    <x v="1"/>
    <n v="2019"/>
  </r>
  <r>
    <s v="Cairo"/>
    <x v="2"/>
    <s v="Member"/>
    <x v="0"/>
    <x v="5"/>
    <n v="51.36"/>
    <n v="1"/>
    <n v="2.5680000000000001"/>
    <x v="116"/>
    <d v="2019-01-16T00:00:00"/>
    <n v="5.2"/>
    <x v="1"/>
    <n v="1"/>
    <x v="1"/>
    <n v="2019"/>
  </r>
  <r>
    <s v="Alex"/>
    <x v="0"/>
    <s v="Member"/>
    <x v="0"/>
    <x v="4"/>
    <n v="10.96"/>
    <n v="10"/>
    <n v="5.48"/>
    <x v="117"/>
    <d v="2019-02-02T00:00:00"/>
    <n v="6"/>
    <x v="1"/>
    <n v="2"/>
    <x v="0"/>
    <n v="2019"/>
  </r>
  <r>
    <s v="Cairo"/>
    <x v="2"/>
    <s v="Member"/>
    <x v="0"/>
    <x v="2"/>
    <n v="53.44"/>
    <n v="2"/>
    <n v="5.3440000000000003"/>
    <x v="118"/>
    <d v="2019-01-20T00:00:00"/>
    <n v="4.0999999999999996"/>
    <x v="2"/>
    <n v="1"/>
    <x v="2"/>
    <n v="2019"/>
  </r>
  <r>
    <s v="Alex"/>
    <x v="0"/>
    <s v="Member"/>
    <x v="0"/>
    <x v="1"/>
    <n v="99.56"/>
    <n v="8"/>
    <n v="39.823999999999998"/>
    <x v="119"/>
    <d v="2019-02-14T00:00:00"/>
    <n v="5.2"/>
    <x v="1"/>
    <n v="2"/>
    <x v="0"/>
    <n v="2019"/>
  </r>
  <r>
    <s v="Giza"/>
    <x v="1"/>
    <s v="Member"/>
    <x v="0"/>
    <x v="3"/>
    <n v="57.12"/>
    <n v="7"/>
    <n v="19.992000000000001"/>
    <x v="120"/>
    <d v="2019-01-12T00:00:00"/>
    <n v="6.5"/>
    <x v="1"/>
    <n v="1"/>
    <x v="2"/>
    <n v="2019"/>
  </r>
  <r>
    <s v="Cairo"/>
    <x v="2"/>
    <s v="Member"/>
    <x v="0"/>
    <x v="3"/>
    <n v="99.96"/>
    <n v="9"/>
    <n v="44.981999999999999"/>
    <x v="121"/>
    <d v="2019-03-09T00:00:00"/>
    <n v="4.2"/>
    <x v="2"/>
    <n v="3"/>
    <x v="0"/>
    <n v="2019"/>
  </r>
  <r>
    <s v="Giza"/>
    <x v="1"/>
    <s v="Member"/>
    <x v="0"/>
    <x v="2"/>
    <n v="63.91"/>
    <n v="8"/>
    <n v="25.564"/>
    <x v="122"/>
    <d v="2019-03-13T00:00:00"/>
    <n v="4.5999999999999996"/>
    <x v="2"/>
    <n v="3"/>
    <x v="1"/>
    <n v="2019"/>
  </r>
  <r>
    <s v="Cairo"/>
    <x v="2"/>
    <s v="Member"/>
    <x v="0"/>
    <x v="5"/>
    <n v="56.47"/>
    <n v="8"/>
    <n v="22.588000000000001"/>
    <x v="123"/>
    <d v="2019-03-09T00:00:00"/>
    <n v="7.3"/>
    <x v="1"/>
    <n v="3"/>
    <x v="1"/>
    <n v="2019"/>
  </r>
  <r>
    <s v="Alex"/>
    <x v="0"/>
    <s v="Member"/>
    <x v="0"/>
    <x v="2"/>
    <n v="93.69"/>
    <n v="7"/>
    <n v="32.791499999999999"/>
    <x v="124"/>
    <d v="2019-03-10T00:00:00"/>
    <n v="4.5"/>
    <x v="2"/>
    <n v="3"/>
    <x v="1"/>
    <n v="2019"/>
  </r>
  <r>
    <s v="Alex"/>
    <x v="0"/>
    <s v="Member"/>
    <x v="0"/>
    <x v="3"/>
    <n v="32.25"/>
    <n v="5"/>
    <n v="8.0625"/>
    <x v="125"/>
    <d v="2019-01-27T00:00:00"/>
    <n v="9"/>
    <x v="0"/>
    <n v="1"/>
    <x v="1"/>
    <n v="2019"/>
  </r>
  <r>
    <s v="Giza"/>
    <x v="1"/>
    <s v="Member"/>
    <x v="0"/>
    <x v="5"/>
    <n v="31.73"/>
    <n v="9"/>
    <n v="14.278499999999999"/>
    <x v="126"/>
    <d v="2019-01-08T00:00:00"/>
    <n v="5.9"/>
    <x v="1"/>
    <n v="1"/>
    <x v="0"/>
    <n v="2019"/>
  </r>
  <r>
    <s v="Giza"/>
    <x v="1"/>
    <s v="Member"/>
    <x v="0"/>
    <x v="4"/>
    <n v="68.540000000000006"/>
    <n v="8"/>
    <n v="27.416"/>
    <x v="127"/>
    <d v="2019-01-08T00:00:00"/>
    <n v="8.5"/>
    <x v="0"/>
    <n v="1"/>
    <x v="0"/>
    <n v="2019"/>
  </r>
  <r>
    <s v="Cairo"/>
    <x v="2"/>
    <s v="Member"/>
    <x v="0"/>
    <x v="3"/>
    <n v="90.28"/>
    <n v="9"/>
    <n v="40.625999999999998"/>
    <x v="128"/>
    <d v="2019-02-08T00:00:00"/>
    <n v="7.2"/>
    <x v="1"/>
    <n v="2"/>
    <x v="0"/>
    <n v="2019"/>
  </r>
  <r>
    <s v="Cairo"/>
    <x v="2"/>
    <s v="Normal"/>
    <x v="0"/>
    <x v="5"/>
    <n v="39.619999999999997"/>
    <n v="7"/>
    <n v="13.867000000000001"/>
    <x v="129"/>
    <d v="2019-01-25T00:00:00"/>
    <n v="7.5"/>
    <x v="1"/>
    <n v="1"/>
    <x v="2"/>
    <n v="2019"/>
  </r>
  <r>
    <s v="Alex"/>
    <x v="0"/>
    <s v="Member"/>
    <x v="0"/>
    <x v="3"/>
    <n v="92.13"/>
    <n v="6"/>
    <n v="27.638999999999999"/>
    <x v="130"/>
    <d v="2019-03-06T00:00:00"/>
    <n v="8.3000000000000007"/>
    <x v="0"/>
    <n v="3"/>
    <x v="0"/>
    <n v="2019"/>
  </r>
  <r>
    <s v="Cairo"/>
    <x v="2"/>
    <s v="Normal"/>
    <x v="0"/>
    <x v="3"/>
    <n v="34.840000000000003"/>
    <n v="4"/>
    <n v="6.968"/>
    <x v="131"/>
    <d v="2019-02-10T00:00:00"/>
    <n v="7.4"/>
    <x v="1"/>
    <n v="2"/>
    <x v="1"/>
    <n v="2019"/>
  </r>
  <r>
    <s v="Cairo"/>
    <x v="2"/>
    <s v="Member"/>
    <x v="0"/>
    <x v="1"/>
    <n v="87.45"/>
    <n v="6"/>
    <n v="26.234999999999999"/>
    <x v="132"/>
    <d v="2019-02-17T00:00:00"/>
    <n v="8.8000000000000007"/>
    <x v="0"/>
    <n v="2"/>
    <x v="2"/>
    <n v="2019"/>
  </r>
  <r>
    <s v="Giza"/>
    <x v="1"/>
    <s v="Normal"/>
    <x v="0"/>
    <x v="0"/>
    <n v="81.3"/>
    <n v="6"/>
    <n v="24.39"/>
    <x v="133"/>
    <d v="2019-03-08T00:00:00"/>
    <n v="5.3"/>
    <x v="1"/>
    <n v="3"/>
    <x v="2"/>
    <n v="2019"/>
  </r>
  <r>
    <s v="Giza"/>
    <x v="1"/>
    <s v="Normal"/>
    <x v="0"/>
    <x v="5"/>
    <n v="90.22"/>
    <n v="3"/>
    <n v="13.532999999999999"/>
    <x v="134"/>
    <d v="2019-02-18T00:00:00"/>
    <n v="6.2"/>
    <x v="1"/>
    <n v="2"/>
    <x v="1"/>
    <n v="2019"/>
  </r>
  <r>
    <s v="Alex"/>
    <x v="0"/>
    <s v="Normal"/>
    <x v="0"/>
    <x v="1"/>
    <n v="26.31"/>
    <n v="5"/>
    <n v="6.5774999999999997"/>
    <x v="135"/>
    <d v="2019-01-18T00:00:00"/>
    <n v="8.8000000000000007"/>
    <x v="0"/>
    <n v="1"/>
    <x v="2"/>
    <n v="2019"/>
  </r>
  <r>
    <s v="Alex"/>
    <x v="0"/>
    <s v="Member"/>
    <x v="0"/>
    <x v="2"/>
    <n v="34.42"/>
    <n v="6"/>
    <n v="10.326000000000001"/>
    <x v="136"/>
    <d v="2019-02-18T00:00:00"/>
    <n v="9.8000000000000007"/>
    <x v="0"/>
    <n v="2"/>
    <x v="0"/>
    <n v="2019"/>
  </r>
  <r>
    <s v="Cairo"/>
    <x v="2"/>
    <s v="Normal"/>
    <x v="0"/>
    <x v="3"/>
    <n v="51.91"/>
    <n v="10"/>
    <n v="25.954999999999998"/>
    <x v="137"/>
    <d v="2019-02-16T00:00:00"/>
    <n v="8.1999999999999993"/>
    <x v="0"/>
    <n v="2"/>
    <x v="2"/>
    <n v="2019"/>
  </r>
  <r>
    <s v="Alex"/>
    <x v="0"/>
    <s v="Normal"/>
    <x v="0"/>
    <x v="3"/>
    <n v="72.5"/>
    <n v="8"/>
    <n v="29"/>
    <x v="138"/>
    <d v="2019-03-16T00:00:00"/>
    <n v="9.1999999999999993"/>
    <x v="0"/>
    <n v="3"/>
    <x v="2"/>
    <n v="2019"/>
  </r>
  <r>
    <s v="Giza"/>
    <x v="1"/>
    <s v="Member"/>
    <x v="0"/>
    <x v="3"/>
    <n v="89.8"/>
    <n v="10"/>
    <n v="44.9"/>
    <x v="139"/>
    <d v="2019-01-23T00:00:00"/>
    <n v="5.4"/>
    <x v="1"/>
    <n v="1"/>
    <x v="1"/>
    <n v="2019"/>
  </r>
  <r>
    <s v="Giza"/>
    <x v="1"/>
    <s v="Member"/>
    <x v="1"/>
    <x v="0"/>
    <n v="90.5"/>
    <n v="10"/>
    <n v="45.25"/>
    <x v="140"/>
    <d v="2019-01-25T00:00:00"/>
    <n v="8.1"/>
    <x v="0"/>
    <n v="1"/>
    <x v="0"/>
    <n v="2019"/>
  </r>
  <r>
    <s v="Giza"/>
    <x v="1"/>
    <s v="Member"/>
    <x v="0"/>
    <x v="0"/>
    <n v="68.599999999999994"/>
    <n v="10"/>
    <n v="34.299999999999997"/>
    <x v="141"/>
    <d v="2019-02-05T00:00:00"/>
    <n v="9.1"/>
    <x v="0"/>
    <n v="2"/>
    <x v="0"/>
    <n v="2019"/>
  </r>
  <r>
    <s v="Giza"/>
    <x v="1"/>
    <s v="Member"/>
    <x v="0"/>
    <x v="4"/>
    <n v="30.41"/>
    <n v="1"/>
    <n v="1.5205"/>
    <x v="142"/>
    <d v="2019-02-22T00:00:00"/>
    <n v="8.4"/>
    <x v="0"/>
    <n v="2"/>
    <x v="2"/>
    <n v="2019"/>
  </r>
  <r>
    <s v="Alex"/>
    <x v="0"/>
    <s v="Normal"/>
    <x v="0"/>
    <x v="2"/>
    <n v="77.95"/>
    <n v="6"/>
    <n v="23.385000000000002"/>
    <x v="143"/>
    <d v="2019-01-21T00:00:00"/>
    <n v="8"/>
    <x v="1"/>
    <n v="1"/>
    <x v="2"/>
    <n v="2019"/>
  </r>
  <r>
    <s v="Giza"/>
    <x v="1"/>
    <s v="Normal"/>
    <x v="0"/>
    <x v="0"/>
    <n v="46.26"/>
    <n v="6"/>
    <n v="13.878"/>
    <x v="144"/>
    <d v="2019-03-08T00:00:00"/>
    <n v="9.5"/>
    <x v="0"/>
    <n v="3"/>
    <x v="0"/>
    <n v="2019"/>
  </r>
  <r>
    <s v="Alex"/>
    <x v="0"/>
    <s v="Member"/>
    <x v="0"/>
    <x v="5"/>
    <n v="30.14"/>
    <n v="10"/>
    <n v="15.07"/>
    <x v="145"/>
    <d v="2019-02-10T00:00:00"/>
    <n v="9.1999999999999993"/>
    <x v="0"/>
    <n v="2"/>
    <x v="1"/>
    <n v="2019"/>
  </r>
  <r>
    <s v="Giza"/>
    <x v="1"/>
    <s v="Normal"/>
    <x v="1"/>
    <x v="0"/>
    <n v="66.14"/>
    <n v="4"/>
    <n v="13.228"/>
    <x v="146"/>
    <d v="2019-03-19T00:00:00"/>
    <n v="5.6"/>
    <x v="1"/>
    <n v="3"/>
    <x v="2"/>
    <n v="2019"/>
  </r>
  <r>
    <s v="Cairo"/>
    <x v="2"/>
    <s v="Member"/>
    <x v="1"/>
    <x v="2"/>
    <n v="71.86"/>
    <n v="8"/>
    <n v="28.744"/>
    <x v="147"/>
    <d v="2019-03-06T00:00:00"/>
    <n v="6.2"/>
    <x v="1"/>
    <n v="3"/>
    <x v="1"/>
    <n v="2019"/>
  </r>
  <r>
    <s v="Alex"/>
    <x v="0"/>
    <s v="Normal"/>
    <x v="1"/>
    <x v="0"/>
    <n v="32.46"/>
    <n v="8"/>
    <n v="12.984"/>
    <x v="148"/>
    <d v="2019-03-27T00:00:00"/>
    <n v="4.9000000000000004"/>
    <x v="2"/>
    <n v="3"/>
    <x v="1"/>
    <n v="2019"/>
  </r>
  <r>
    <s v="Cairo"/>
    <x v="2"/>
    <s v="Member"/>
    <x v="0"/>
    <x v="5"/>
    <n v="91.54"/>
    <n v="4"/>
    <n v="18.308"/>
    <x v="149"/>
    <d v="2019-03-23T00:00:00"/>
    <n v="4.8"/>
    <x v="2"/>
    <n v="3"/>
    <x v="1"/>
    <n v="2019"/>
  </r>
  <r>
    <s v="Giza"/>
    <x v="1"/>
    <s v="Member"/>
    <x v="1"/>
    <x v="3"/>
    <n v="34.56"/>
    <n v="7"/>
    <n v="12.096"/>
    <x v="150"/>
    <d v="2019-03-11T00:00:00"/>
    <n v="7.3"/>
    <x v="1"/>
    <n v="3"/>
    <x v="1"/>
    <n v="2019"/>
  </r>
  <r>
    <s v="Alex"/>
    <x v="0"/>
    <s v="Normal"/>
    <x v="1"/>
    <x v="5"/>
    <n v="83.24"/>
    <n v="9"/>
    <n v="37.457999999999998"/>
    <x v="151"/>
    <d v="2019-01-29T00:00:00"/>
    <n v="7.4"/>
    <x v="1"/>
    <n v="1"/>
    <x v="1"/>
    <n v="2019"/>
  </r>
  <r>
    <s v="Giza"/>
    <x v="1"/>
    <s v="Normal"/>
    <x v="0"/>
    <x v="4"/>
    <n v="16.48"/>
    <n v="6"/>
    <n v="4.944"/>
    <x v="152"/>
    <d v="2019-02-07T00:00:00"/>
    <n v="9.9"/>
    <x v="0"/>
    <n v="2"/>
    <x v="0"/>
    <n v="2019"/>
  </r>
  <r>
    <s v="Giza"/>
    <x v="1"/>
    <s v="Normal"/>
    <x v="0"/>
    <x v="3"/>
    <n v="80.97"/>
    <n v="8"/>
    <n v="32.387999999999998"/>
    <x v="153"/>
    <d v="2019-01-28T00:00:00"/>
    <n v="9.3000000000000007"/>
    <x v="0"/>
    <n v="1"/>
    <x v="2"/>
    <n v="2019"/>
  </r>
  <r>
    <s v="Alex"/>
    <x v="0"/>
    <s v="Member"/>
    <x v="1"/>
    <x v="4"/>
    <n v="92.29"/>
    <n v="5"/>
    <n v="23.072500000000002"/>
    <x v="154"/>
    <d v="2019-02-20T00:00:00"/>
    <n v="9"/>
    <x v="0"/>
    <n v="2"/>
    <x v="0"/>
    <n v="2019"/>
  </r>
  <r>
    <s v="Cairo"/>
    <x v="2"/>
    <s v="Member"/>
    <x v="1"/>
    <x v="1"/>
    <n v="72.17"/>
    <n v="1"/>
    <n v="3.6084999999999998"/>
    <x v="155"/>
    <d v="2019-01-04T00:00:00"/>
    <n v="6.1"/>
    <x v="1"/>
    <n v="1"/>
    <x v="2"/>
    <n v="2019"/>
  </r>
  <r>
    <s v="Cairo"/>
    <x v="2"/>
    <s v="Normal"/>
    <x v="1"/>
    <x v="2"/>
    <n v="50.28"/>
    <n v="5"/>
    <n v="12.57"/>
    <x v="156"/>
    <d v="2019-03-07T00:00:00"/>
    <n v="9.6999999999999993"/>
    <x v="0"/>
    <n v="3"/>
    <x v="0"/>
    <n v="2019"/>
  </r>
  <r>
    <s v="Cairo"/>
    <x v="2"/>
    <s v="Member"/>
    <x v="1"/>
    <x v="0"/>
    <n v="97.22"/>
    <n v="9"/>
    <n v="43.749000000000002"/>
    <x v="157"/>
    <d v="2019-03-30T00:00:00"/>
    <n v="6"/>
    <x v="1"/>
    <n v="3"/>
    <x v="1"/>
    <n v="2019"/>
  </r>
  <r>
    <s v="Cairo"/>
    <x v="2"/>
    <s v="Normal"/>
    <x v="1"/>
    <x v="3"/>
    <n v="93.39"/>
    <n v="6"/>
    <n v="28.016999999999999"/>
    <x v="158"/>
    <d v="2019-03-27T00:00:00"/>
    <n v="10"/>
    <x v="0"/>
    <n v="3"/>
    <x v="1"/>
    <n v="2019"/>
  </r>
  <r>
    <s v="Giza"/>
    <x v="1"/>
    <s v="Normal"/>
    <x v="0"/>
    <x v="4"/>
    <n v="43.18"/>
    <n v="8"/>
    <n v="17.271999999999998"/>
    <x v="159"/>
    <d v="2019-01-19T00:00:00"/>
    <n v="8.3000000000000007"/>
    <x v="0"/>
    <n v="1"/>
    <x v="1"/>
    <n v="2019"/>
  </r>
  <r>
    <s v="Alex"/>
    <x v="0"/>
    <s v="Normal"/>
    <x v="1"/>
    <x v="3"/>
    <n v="63.69"/>
    <n v="1"/>
    <n v="3.1844999999999999"/>
    <x v="160"/>
    <d v="2019-02-25T00:00:00"/>
    <n v="6"/>
    <x v="1"/>
    <n v="2"/>
    <x v="0"/>
    <n v="2019"/>
  </r>
  <r>
    <s v="Alex"/>
    <x v="0"/>
    <s v="Normal"/>
    <x v="1"/>
    <x v="4"/>
    <n v="45.79"/>
    <n v="7"/>
    <n v="16.026499999999999"/>
    <x v="161"/>
    <d v="2019-03-13T00:00:00"/>
    <n v="7"/>
    <x v="1"/>
    <n v="3"/>
    <x v="2"/>
    <n v="2019"/>
  </r>
  <r>
    <s v="Giza"/>
    <x v="1"/>
    <s v="Normal"/>
    <x v="1"/>
    <x v="3"/>
    <n v="76.400000000000006"/>
    <n v="2"/>
    <n v="7.64"/>
    <x v="162"/>
    <d v="2019-01-30T00:00:00"/>
    <n v="6.5"/>
    <x v="1"/>
    <n v="1"/>
    <x v="1"/>
    <n v="2019"/>
  </r>
  <r>
    <s v="Cairo"/>
    <x v="2"/>
    <s v="Normal"/>
    <x v="1"/>
    <x v="4"/>
    <n v="39.9"/>
    <n v="10"/>
    <n v="19.95"/>
    <x v="163"/>
    <d v="2019-02-20T00:00:00"/>
    <n v="5.9"/>
    <x v="1"/>
    <n v="2"/>
    <x v="0"/>
    <n v="2019"/>
  </r>
  <r>
    <s v="Cairo"/>
    <x v="2"/>
    <s v="Member"/>
    <x v="1"/>
    <x v="0"/>
    <n v="42.57"/>
    <n v="8"/>
    <n v="17.027999999999999"/>
    <x v="164"/>
    <d v="2019-02-25T00:00:00"/>
    <n v="5.6"/>
    <x v="1"/>
    <n v="2"/>
    <x v="2"/>
    <n v="2019"/>
  </r>
  <r>
    <s v="Giza"/>
    <x v="1"/>
    <s v="Normal"/>
    <x v="1"/>
    <x v="2"/>
    <n v="95.58"/>
    <n v="10"/>
    <n v="47.79"/>
    <x v="165"/>
    <d v="2019-01-16T00:00:00"/>
    <n v="4.8"/>
    <x v="2"/>
    <n v="1"/>
    <x v="2"/>
    <n v="2019"/>
  </r>
  <r>
    <s v="Alex"/>
    <x v="0"/>
    <s v="Normal"/>
    <x v="1"/>
    <x v="5"/>
    <n v="98.98"/>
    <n v="10"/>
    <n v="49.49"/>
    <x v="166"/>
    <d v="2019-02-08T00:00:00"/>
    <n v="8.6999999999999993"/>
    <x v="0"/>
    <n v="2"/>
    <x v="0"/>
    <n v="2019"/>
  </r>
  <r>
    <s v="Alex"/>
    <x v="0"/>
    <s v="Normal"/>
    <x v="1"/>
    <x v="4"/>
    <n v="51.28"/>
    <n v="6"/>
    <n v="15.384"/>
    <x v="167"/>
    <d v="2019-01-19T00:00:00"/>
    <n v="6.5"/>
    <x v="1"/>
    <n v="1"/>
    <x v="2"/>
    <n v="2019"/>
  </r>
  <r>
    <s v="Alex"/>
    <x v="0"/>
    <s v="Member"/>
    <x v="1"/>
    <x v="3"/>
    <n v="69.52"/>
    <n v="7"/>
    <n v="24.332000000000001"/>
    <x v="168"/>
    <d v="2019-02-01T00:00:00"/>
    <n v="8.5"/>
    <x v="0"/>
    <n v="2"/>
    <x v="0"/>
    <n v="2019"/>
  </r>
  <r>
    <s v="Alex"/>
    <x v="0"/>
    <s v="Normal"/>
    <x v="1"/>
    <x v="0"/>
    <n v="70.010000000000005"/>
    <n v="5"/>
    <n v="17.502500000000001"/>
    <x v="169"/>
    <d v="2019-01-03T00:00:00"/>
    <n v="5.5"/>
    <x v="1"/>
    <n v="1"/>
    <x v="2"/>
    <n v="2019"/>
  </r>
  <r>
    <s v="Cairo"/>
    <x v="2"/>
    <s v="Member"/>
    <x v="1"/>
    <x v="4"/>
    <n v="80.05"/>
    <n v="5"/>
    <n v="20.012499999999999"/>
    <x v="170"/>
    <d v="2019-01-26T00:00:00"/>
    <n v="9.4"/>
    <x v="0"/>
    <n v="1"/>
    <x v="0"/>
    <n v="2019"/>
  </r>
  <r>
    <s v="Giza"/>
    <x v="1"/>
    <s v="Normal"/>
    <x v="1"/>
    <x v="1"/>
    <n v="20.85"/>
    <n v="8"/>
    <n v="8.34"/>
    <x v="171"/>
    <d v="2019-03-03T00:00:00"/>
    <n v="6.3"/>
    <x v="1"/>
    <n v="3"/>
    <x v="0"/>
    <n v="2019"/>
  </r>
  <r>
    <s v="Cairo"/>
    <x v="2"/>
    <s v="Member"/>
    <x v="1"/>
    <x v="1"/>
    <n v="52.89"/>
    <n v="6"/>
    <n v="15.867000000000001"/>
    <x v="172"/>
    <d v="2019-01-19T00:00:00"/>
    <n v="9.8000000000000007"/>
    <x v="0"/>
    <n v="1"/>
    <x v="1"/>
    <n v="2019"/>
  </r>
  <r>
    <s v="Cairo"/>
    <x v="2"/>
    <s v="Normal"/>
    <x v="1"/>
    <x v="4"/>
    <n v="19.79"/>
    <n v="8"/>
    <n v="7.9160000000000004"/>
    <x v="173"/>
    <d v="2019-01-18T00:00:00"/>
    <n v="8.6999999999999993"/>
    <x v="0"/>
    <n v="1"/>
    <x v="0"/>
    <n v="2019"/>
  </r>
  <r>
    <s v="Alex"/>
    <x v="0"/>
    <s v="Member"/>
    <x v="1"/>
    <x v="2"/>
    <n v="33.840000000000003"/>
    <n v="9"/>
    <n v="15.228"/>
    <x v="174"/>
    <d v="2019-03-21T00:00:00"/>
    <n v="8.8000000000000007"/>
    <x v="0"/>
    <n v="3"/>
    <x v="0"/>
    <n v="2019"/>
  </r>
  <r>
    <s v="Alex"/>
    <x v="0"/>
    <s v="Member"/>
    <x v="1"/>
    <x v="4"/>
    <n v="22.17"/>
    <n v="8"/>
    <n v="8.8680000000000003"/>
    <x v="175"/>
    <d v="2019-03-03T00:00:00"/>
    <n v="9.6"/>
    <x v="0"/>
    <n v="3"/>
    <x v="1"/>
    <n v="2019"/>
  </r>
  <r>
    <s v="Giza"/>
    <x v="1"/>
    <s v="Normal"/>
    <x v="0"/>
    <x v="5"/>
    <n v="22.51"/>
    <n v="7"/>
    <n v="7.8784999999999998"/>
    <x v="176"/>
    <d v="2019-02-13T00:00:00"/>
    <n v="4.8"/>
    <x v="2"/>
    <n v="2"/>
    <x v="1"/>
    <n v="2019"/>
  </r>
  <r>
    <s v="Alex"/>
    <x v="0"/>
    <s v="Normal"/>
    <x v="1"/>
    <x v="4"/>
    <n v="73.88"/>
    <n v="6"/>
    <n v="22.164000000000001"/>
    <x v="177"/>
    <d v="2019-03-23T00:00:00"/>
    <n v="4.4000000000000004"/>
    <x v="2"/>
    <n v="3"/>
    <x v="2"/>
    <n v="2019"/>
  </r>
  <r>
    <s v="Giza"/>
    <x v="1"/>
    <s v="Member"/>
    <x v="1"/>
    <x v="0"/>
    <n v="86.8"/>
    <n v="3"/>
    <n v="13.02"/>
    <x v="178"/>
    <d v="2019-01-28T00:00:00"/>
    <n v="9.9"/>
    <x v="0"/>
    <n v="1"/>
    <x v="1"/>
    <n v="2019"/>
  </r>
  <r>
    <s v="Giza"/>
    <x v="1"/>
    <s v="Normal"/>
    <x v="1"/>
    <x v="5"/>
    <n v="64.260000000000005"/>
    <n v="7"/>
    <n v="22.491"/>
    <x v="179"/>
    <d v="2019-02-09T00:00:00"/>
    <n v="5.7"/>
    <x v="1"/>
    <n v="2"/>
    <x v="0"/>
    <n v="2019"/>
  </r>
  <r>
    <s v="Giza"/>
    <x v="1"/>
    <s v="Member"/>
    <x v="1"/>
    <x v="4"/>
    <n v="38.47"/>
    <n v="8"/>
    <n v="15.388"/>
    <x v="180"/>
    <d v="2019-01-23T00:00:00"/>
    <n v="7.7"/>
    <x v="1"/>
    <n v="1"/>
    <x v="2"/>
    <n v="2019"/>
  </r>
  <r>
    <s v="Alex"/>
    <x v="0"/>
    <s v="Member"/>
    <x v="1"/>
    <x v="3"/>
    <n v="15.5"/>
    <n v="10"/>
    <n v="7.75"/>
    <x v="181"/>
    <d v="2019-03-23T00:00:00"/>
    <n v="8"/>
    <x v="1"/>
    <n v="3"/>
    <x v="0"/>
    <n v="2019"/>
  </r>
  <r>
    <s v="Giza"/>
    <x v="1"/>
    <s v="Normal"/>
    <x v="1"/>
    <x v="0"/>
    <n v="34.31"/>
    <n v="8"/>
    <n v="13.724"/>
    <x v="182"/>
    <d v="2019-01-25T00:00:00"/>
    <n v="5.7"/>
    <x v="1"/>
    <n v="1"/>
    <x v="1"/>
    <n v="2019"/>
  </r>
  <r>
    <s v="Alex"/>
    <x v="0"/>
    <s v="Normal"/>
    <x v="0"/>
    <x v="3"/>
    <n v="12.34"/>
    <n v="7"/>
    <n v="4.319"/>
    <x v="183"/>
    <d v="2019-03-04T00:00:00"/>
    <n v="6.7"/>
    <x v="1"/>
    <n v="3"/>
    <x v="0"/>
    <n v="2019"/>
  </r>
  <r>
    <s v="Cairo"/>
    <x v="2"/>
    <s v="Member"/>
    <x v="1"/>
    <x v="4"/>
    <n v="18.079999999999998"/>
    <n v="3"/>
    <n v="2.7120000000000002"/>
    <x v="184"/>
    <d v="2019-03-05T00:00:00"/>
    <n v="8"/>
    <x v="1"/>
    <n v="3"/>
    <x v="1"/>
    <n v="2019"/>
  </r>
  <r>
    <s v="Cairo"/>
    <x v="2"/>
    <s v="Member"/>
    <x v="0"/>
    <x v="2"/>
    <n v="94.49"/>
    <n v="8"/>
    <n v="37.795999999999999"/>
    <x v="185"/>
    <d v="2019-03-03T00:00:00"/>
    <n v="7.5"/>
    <x v="1"/>
    <n v="3"/>
    <x v="1"/>
    <n v="2019"/>
  </r>
  <r>
    <s v="Cairo"/>
    <x v="2"/>
    <s v="Member"/>
    <x v="1"/>
    <x v="2"/>
    <n v="46.47"/>
    <n v="4"/>
    <n v="9.2940000000000005"/>
    <x v="186"/>
    <d v="2019-02-08T00:00:00"/>
    <n v="7"/>
    <x v="1"/>
    <n v="2"/>
    <x v="1"/>
    <n v="2019"/>
  </r>
  <r>
    <s v="Alex"/>
    <x v="0"/>
    <s v="Normal"/>
    <x v="1"/>
    <x v="2"/>
    <n v="74.069999999999993"/>
    <n v="1"/>
    <n v="3.7035"/>
    <x v="187"/>
    <d v="2019-02-10T00:00:00"/>
    <n v="9.9"/>
    <x v="0"/>
    <n v="2"/>
    <x v="2"/>
    <n v="2019"/>
  </r>
  <r>
    <s v="Giza"/>
    <x v="1"/>
    <s v="Normal"/>
    <x v="0"/>
    <x v="2"/>
    <n v="69.81"/>
    <n v="4"/>
    <n v="13.962"/>
    <x v="188"/>
    <d v="2019-01-28T00:00:00"/>
    <n v="5.9"/>
    <x v="1"/>
    <n v="1"/>
    <x v="2"/>
    <n v="2019"/>
  </r>
  <r>
    <s v="Cairo"/>
    <x v="2"/>
    <s v="Normal"/>
    <x v="0"/>
    <x v="2"/>
    <n v="77.040000000000006"/>
    <n v="3"/>
    <n v="11.555999999999999"/>
    <x v="189"/>
    <d v="2019-02-11T00:00:00"/>
    <n v="7.2"/>
    <x v="1"/>
    <n v="2"/>
    <x v="0"/>
    <n v="2019"/>
  </r>
  <r>
    <s v="Cairo"/>
    <x v="2"/>
    <s v="Normal"/>
    <x v="0"/>
    <x v="5"/>
    <n v="73.52"/>
    <n v="2"/>
    <n v="7.3520000000000003"/>
    <x v="190"/>
    <d v="2019-01-15T00:00:00"/>
    <n v="4.5999999999999996"/>
    <x v="2"/>
    <n v="1"/>
    <x v="2"/>
    <n v="2019"/>
  </r>
  <r>
    <s v="Giza"/>
    <x v="1"/>
    <s v="Normal"/>
    <x v="0"/>
    <x v="4"/>
    <n v="87.8"/>
    <n v="9"/>
    <n v="39.51"/>
    <x v="191"/>
    <d v="2019-03-16T00:00:00"/>
    <n v="9.1999999999999993"/>
    <x v="0"/>
    <n v="3"/>
    <x v="0"/>
    <n v="2019"/>
  </r>
  <r>
    <s v="Cairo"/>
    <x v="2"/>
    <s v="Normal"/>
    <x v="1"/>
    <x v="2"/>
    <n v="25.55"/>
    <n v="4"/>
    <n v="5.1100000000000003"/>
    <x v="192"/>
    <d v="2019-01-26T00:00:00"/>
    <n v="5.7"/>
    <x v="1"/>
    <n v="1"/>
    <x v="1"/>
    <n v="2019"/>
  </r>
  <r>
    <s v="Alex"/>
    <x v="0"/>
    <s v="Normal"/>
    <x v="1"/>
    <x v="1"/>
    <n v="32.71"/>
    <n v="5"/>
    <n v="8.1775000000000002"/>
    <x v="193"/>
    <d v="2019-03-19T00:00:00"/>
    <n v="9.9"/>
    <x v="0"/>
    <n v="3"/>
    <x v="0"/>
    <n v="2019"/>
  </r>
  <r>
    <s v="Giza"/>
    <x v="1"/>
    <s v="Member"/>
    <x v="0"/>
    <x v="5"/>
    <n v="74.290000000000006"/>
    <n v="1"/>
    <n v="3.7145000000000001"/>
    <x v="194"/>
    <d v="2019-01-13T00:00:00"/>
    <n v="5"/>
    <x v="1"/>
    <n v="1"/>
    <x v="1"/>
    <n v="2019"/>
  </r>
  <r>
    <s v="Giza"/>
    <x v="1"/>
    <s v="Member"/>
    <x v="1"/>
    <x v="0"/>
    <n v="43.7"/>
    <n v="2"/>
    <n v="4.37"/>
    <x v="195"/>
    <d v="2019-03-26T00:00:00"/>
    <n v="4.9000000000000004"/>
    <x v="2"/>
    <n v="3"/>
    <x v="0"/>
    <n v="2019"/>
  </r>
  <r>
    <s v="Alex"/>
    <x v="0"/>
    <s v="Normal"/>
    <x v="0"/>
    <x v="2"/>
    <n v="25.29"/>
    <n v="1"/>
    <n v="1.2645"/>
    <x v="196"/>
    <d v="2019-03-23T00:00:00"/>
    <n v="6.1"/>
    <x v="1"/>
    <n v="3"/>
    <x v="1"/>
    <n v="2019"/>
  </r>
  <r>
    <s v="Giza"/>
    <x v="1"/>
    <s v="Normal"/>
    <x v="1"/>
    <x v="0"/>
    <n v="41.5"/>
    <n v="4"/>
    <n v="8.3000000000000007"/>
    <x v="197"/>
    <d v="2019-03-12T00:00:00"/>
    <n v="8.1999999999999993"/>
    <x v="0"/>
    <n v="3"/>
    <x v="1"/>
    <n v="2019"/>
  </r>
  <r>
    <s v="Giza"/>
    <x v="1"/>
    <s v="Member"/>
    <x v="0"/>
    <x v="4"/>
    <n v="71.39"/>
    <n v="5"/>
    <n v="17.8475"/>
    <x v="198"/>
    <d v="2019-02-17T00:00:00"/>
    <n v="5.5"/>
    <x v="1"/>
    <n v="2"/>
    <x v="1"/>
    <n v="2019"/>
  </r>
  <r>
    <s v="Giza"/>
    <x v="1"/>
    <s v="Member"/>
    <x v="0"/>
    <x v="3"/>
    <n v="19.149999999999999"/>
    <n v="6"/>
    <n v="5.7450000000000001"/>
    <x v="199"/>
    <d v="2019-01-29T00:00:00"/>
    <n v="6.8"/>
    <x v="1"/>
    <n v="1"/>
    <x v="2"/>
    <n v="2019"/>
  </r>
  <r>
    <s v="Cairo"/>
    <x v="2"/>
    <s v="Member"/>
    <x v="0"/>
    <x v="1"/>
    <n v="57.49"/>
    <n v="4"/>
    <n v="11.497999999999999"/>
    <x v="200"/>
    <d v="2019-03-15T00:00:00"/>
    <n v="6.6"/>
    <x v="1"/>
    <n v="3"/>
    <x v="0"/>
    <n v="2019"/>
  </r>
  <r>
    <s v="Giza"/>
    <x v="1"/>
    <s v="Normal"/>
    <x v="1"/>
    <x v="1"/>
    <n v="61.41"/>
    <n v="7"/>
    <n v="21.493500000000001"/>
    <x v="201"/>
    <d v="2019-01-14T00:00:00"/>
    <n v="9.8000000000000007"/>
    <x v="0"/>
    <n v="1"/>
    <x v="1"/>
    <n v="2019"/>
  </r>
  <r>
    <s v="Cairo"/>
    <x v="2"/>
    <s v="Member"/>
    <x v="1"/>
    <x v="0"/>
    <n v="25.9"/>
    <n v="10"/>
    <n v="12.95"/>
    <x v="202"/>
    <d v="2019-02-06T00:00:00"/>
    <n v="8.6999999999999993"/>
    <x v="0"/>
    <n v="2"/>
    <x v="0"/>
    <n v="2019"/>
  </r>
  <r>
    <s v="Cairo"/>
    <x v="2"/>
    <s v="Member"/>
    <x v="1"/>
    <x v="2"/>
    <n v="17.77"/>
    <n v="5"/>
    <n v="4.4424999999999999"/>
    <x v="203"/>
    <d v="2019-02-15T00:00:00"/>
    <n v="5.4"/>
    <x v="1"/>
    <n v="2"/>
    <x v="2"/>
    <n v="2019"/>
  </r>
  <r>
    <s v="Alex"/>
    <x v="0"/>
    <s v="Normal"/>
    <x v="0"/>
    <x v="0"/>
    <n v="23.03"/>
    <n v="9"/>
    <n v="10.3635"/>
    <x v="204"/>
    <d v="2019-01-03T00:00:00"/>
    <n v="7.9"/>
    <x v="1"/>
    <n v="1"/>
    <x v="2"/>
    <n v="2019"/>
  </r>
  <r>
    <s v="Giza"/>
    <x v="1"/>
    <s v="Member"/>
    <x v="0"/>
    <x v="1"/>
    <n v="66.650000000000006"/>
    <n v="9"/>
    <n v="29.9925"/>
    <x v="205"/>
    <d v="2019-01-04T00:00:00"/>
    <n v="9.6999999999999993"/>
    <x v="0"/>
    <n v="1"/>
    <x v="0"/>
    <n v="2019"/>
  </r>
  <r>
    <s v="Giza"/>
    <x v="1"/>
    <s v="Member"/>
    <x v="0"/>
    <x v="2"/>
    <n v="28.53"/>
    <n v="10"/>
    <n v="14.265000000000001"/>
    <x v="206"/>
    <d v="2019-03-18T00:00:00"/>
    <n v="7.8"/>
    <x v="1"/>
    <n v="3"/>
    <x v="0"/>
    <n v="2019"/>
  </r>
  <r>
    <s v="Cairo"/>
    <x v="2"/>
    <s v="Normal"/>
    <x v="0"/>
    <x v="5"/>
    <n v="30.37"/>
    <n v="3"/>
    <n v="4.5555000000000003"/>
    <x v="207"/>
    <d v="2019-03-28T00:00:00"/>
    <n v="5.0999999999999996"/>
    <x v="1"/>
    <n v="3"/>
    <x v="1"/>
    <n v="2019"/>
  </r>
  <r>
    <s v="Cairo"/>
    <x v="2"/>
    <s v="Normal"/>
    <x v="0"/>
    <x v="1"/>
    <n v="99.73"/>
    <n v="9"/>
    <n v="44.878500000000003"/>
    <x v="208"/>
    <d v="2019-03-02T00:00:00"/>
    <n v="6.5"/>
    <x v="1"/>
    <n v="3"/>
    <x v="1"/>
    <n v="2019"/>
  </r>
  <r>
    <s v="Alex"/>
    <x v="0"/>
    <s v="Normal"/>
    <x v="1"/>
    <x v="1"/>
    <n v="26.23"/>
    <n v="9"/>
    <n v="11.8035"/>
    <x v="209"/>
    <d v="2019-01-25T00:00:00"/>
    <n v="5.9"/>
    <x v="1"/>
    <n v="1"/>
    <x v="1"/>
    <n v="2019"/>
  </r>
  <r>
    <s v="Giza"/>
    <x v="1"/>
    <s v="Normal"/>
    <x v="0"/>
    <x v="4"/>
    <n v="93.26"/>
    <n v="9"/>
    <n v="41.966999999999999"/>
    <x v="210"/>
    <d v="2019-01-16T00:00:00"/>
    <n v="8.8000000000000007"/>
    <x v="0"/>
    <n v="1"/>
    <x v="0"/>
    <n v="2019"/>
  </r>
  <r>
    <s v="Cairo"/>
    <x v="2"/>
    <s v="Normal"/>
    <x v="1"/>
    <x v="2"/>
    <n v="92.36"/>
    <n v="5"/>
    <n v="23.09"/>
    <x v="211"/>
    <d v="2019-03-20T00:00:00"/>
    <n v="4.9000000000000004"/>
    <x v="2"/>
    <n v="3"/>
    <x v="0"/>
    <n v="2019"/>
  </r>
  <r>
    <s v="Cairo"/>
    <x v="2"/>
    <s v="Normal"/>
    <x v="1"/>
    <x v="3"/>
    <n v="46.42"/>
    <n v="3"/>
    <n v="6.9630000000000001"/>
    <x v="212"/>
    <d v="2019-01-04T00:00:00"/>
    <n v="4.4000000000000004"/>
    <x v="2"/>
    <n v="1"/>
    <x v="1"/>
    <n v="2019"/>
  </r>
  <r>
    <s v="Cairo"/>
    <x v="2"/>
    <s v="Member"/>
    <x v="0"/>
    <x v="3"/>
    <n v="29.61"/>
    <n v="7"/>
    <n v="10.3635"/>
    <x v="204"/>
    <d v="2019-03-11T00:00:00"/>
    <n v="6.5"/>
    <x v="1"/>
    <n v="3"/>
    <x v="0"/>
    <n v="2019"/>
  </r>
  <r>
    <s v="Alex"/>
    <x v="0"/>
    <s v="Normal"/>
    <x v="1"/>
    <x v="2"/>
    <n v="18.28"/>
    <n v="1"/>
    <n v="0.91400000000000003"/>
    <x v="213"/>
    <d v="2019-03-22T00:00:00"/>
    <n v="8.3000000000000007"/>
    <x v="0"/>
    <n v="3"/>
    <x v="1"/>
    <n v="2019"/>
  </r>
  <r>
    <s v="Cairo"/>
    <x v="2"/>
    <s v="Normal"/>
    <x v="0"/>
    <x v="3"/>
    <n v="24.77"/>
    <n v="5"/>
    <n v="6.1924999999999999"/>
    <x v="214"/>
    <d v="2019-03-24T00:00:00"/>
    <n v="8.5"/>
    <x v="0"/>
    <n v="3"/>
    <x v="1"/>
    <n v="2019"/>
  </r>
  <r>
    <s v="Alex"/>
    <x v="0"/>
    <s v="Member"/>
    <x v="0"/>
    <x v="1"/>
    <n v="94.64"/>
    <n v="3"/>
    <n v="14.196"/>
    <x v="215"/>
    <d v="2019-02-21T00:00:00"/>
    <n v="5.5"/>
    <x v="1"/>
    <n v="2"/>
    <x v="1"/>
    <n v="2019"/>
  </r>
  <r>
    <s v="Cairo"/>
    <x v="2"/>
    <s v="Normal"/>
    <x v="1"/>
    <x v="5"/>
    <n v="94.87"/>
    <n v="8"/>
    <n v="37.948"/>
    <x v="216"/>
    <d v="2019-02-12T00:00:00"/>
    <n v="8.6999999999999993"/>
    <x v="0"/>
    <n v="2"/>
    <x v="2"/>
    <n v="2019"/>
  </r>
  <r>
    <s v="Cairo"/>
    <x v="2"/>
    <s v="Normal"/>
    <x v="0"/>
    <x v="4"/>
    <n v="57.34"/>
    <n v="3"/>
    <n v="8.6010000000000009"/>
    <x v="217"/>
    <d v="2019-03-10T00:00:00"/>
    <n v="7.9"/>
    <x v="1"/>
    <n v="3"/>
    <x v="2"/>
    <n v="2019"/>
  </r>
  <r>
    <s v="Cairo"/>
    <x v="2"/>
    <s v="Normal"/>
    <x v="1"/>
    <x v="1"/>
    <n v="45.35"/>
    <n v="6"/>
    <n v="13.605"/>
    <x v="218"/>
    <d v="2019-01-31T00:00:00"/>
    <n v="6.1"/>
    <x v="1"/>
    <n v="1"/>
    <x v="1"/>
    <n v="2019"/>
  </r>
  <r>
    <s v="Cairo"/>
    <x v="2"/>
    <s v="Normal"/>
    <x v="1"/>
    <x v="4"/>
    <n v="62.08"/>
    <n v="7"/>
    <n v="21.728000000000002"/>
    <x v="219"/>
    <d v="2019-03-06T00:00:00"/>
    <n v="5.4"/>
    <x v="1"/>
    <n v="3"/>
    <x v="0"/>
    <n v="2019"/>
  </r>
  <r>
    <s v="Giza"/>
    <x v="1"/>
    <s v="Normal"/>
    <x v="1"/>
    <x v="1"/>
    <n v="11.81"/>
    <n v="5"/>
    <n v="2.9525000000000001"/>
    <x v="220"/>
    <d v="2019-02-17T00:00:00"/>
    <n v="9.4"/>
    <x v="0"/>
    <n v="2"/>
    <x v="1"/>
    <n v="2019"/>
  </r>
  <r>
    <s v="Giza"/>
    <x v="1"/>
    <s v="Member"/>
    <x v="0"/>
    <x v="5"/>
    <n v="12.54"/>
    <n v="1"/>
    <n v="0.627"/>
    <x v="221"/>
    <d v="2019-02-21T00:00:00"/>
    <n v="8.1999999999999993"/>
    <x v="0"/>
    <n v="2"/>
    <x v="2"/>
    <n v="2019"/>
  </r>
  <r>
    <s v="Alex"/>
    <x v="0"/>
    <s v="Normal"/>
    <x v="1"/>
    <x v="4"/>
    <n v="43.25"/>
    <n v="2"/>
    <n v="4.3250000000000002"/>
    <x v="222"/>
    <d v="2019-03-20T00:00:00"/>
    <n v="6.2"/>
    <x v="1"/>
    <n v="3"/>
    <x v="2"/>
    <n v="2019"/>
  </r>
  <r>
    <s v="Giza"/>
    <x v="1"/>
    <s v="Member"/>
    <x v="0"/>
    <x v="3"/>
    <n v="87.16"/>
    <n v="2"/>
    <n v="8.7159999999999993"/>
    <x v="223"/>
    <d v="2019-01-11T00:00:00"/>
    <n v="9.6999999999999993"/>
    <x v="0"/>
    <n v="1"/>
    <x v="1"/>
    <n v="2019"/>
  </r>
  <r>
    <s v="Cairo"/>
    <x v="2"/>
    <s v="Member"/>
    <x v="1"/>
    <x v="0"/>
    <n v="69.37"/>
    <n v="9"/>
    <n v="31.2165"/>
    <x v="224"/>
    <d v="2019-01-26T00:00:00"/>
    <n v="4"/>
    <x v="2"/>
    <n v="1"/>
    <x v="0"/>
    <n v="2019"/>
  </r>
  <r>
    <s v="Giza"/>
    <x v="1"/>
    <s v="Member"/>
    <x v="1"/>
    <x v="1"/>
    <n v="37.06"/>
    <n v="4"/>
    <n v="7.4119999999999999"/>
    <x v="225"/>
    <d v="2019-01-31T00:00:00"/>
    <n v="9.6999999999999993"/>
    <x v="0"/>
    <n v="1"/>
    <x v="0"/>
    <n v="2019"/>
  </r>
  <r>
    <s v="Cairo"/>
    <x v="2"/>
    <s v="Member"/>
    <x v="0"/>
    <x v="1"/>
    <n v="90.7"/>
    <n v="6"/>
    <n v="27.21"/>
    <x v="226"/>
    <d v="2019-02-26T00:00:00"/>
    <n v="5.3"/>
    <x v="1"/>
    <n v="2"/>
    <x v="0"/>
    <n v="2019"/>
  </r>
  <r>
    <s v="Alex"/>
    <x v="0"/>
    <s v="Normal"/>
    <x v="0"/>
    <x v="2"/>
    <n v="63.42"/>
    <n v="8"/>
    <n v="25.367999999999999"/>
    <x v="227"/>
    <d v="2019-03-11T00:00:00"/>
    <n v="7.4"/>
    <x v="1"/>
    <n v="3"/>
    <x v="2"/>
    <n v="2019"/>
  </r>
  <r>
    <s v="Cairo"/>
    <x v="2"/>
    <s v="Normal"/>
    <x v="0"/>
    <x v="5"/>
    <n v="81.37"/>
    <n v="2"/>
    <n v="8.1370000000000005"/>
    <x v="228"/>
    <d v="2019-01-26T00:00:00"/>
    <n v="6.5"/>
    <x v="1"/>
    <n v="1"/>
    <x v="1"/>
    <n v="2019"/>
  </r>
  <r>
    <s v="Cairo"/>
    <x v="2"/>
    <s v="Member"/>
    <x v="0"/>
    <x v="1"/>
    <n v="10.59"/>
    <n v="3"/>
    <n v="1.5885"/>
    <x v="229"/>
    <d v="2019-03-12T00:00:00"/>
    <n v="8.6999999999999993"/>
    <x v="0"/>
    <n v="3"/>
    <x v="0"/>
    <n v="2019"/>
  </r>
  <r>
    <s v="Cairo"/>
    <x v="2"/>
    <s v="Normal"/>
    <x v="0"/>
    <x v="0"/>
    <n v="84.09"/>
    <n v="9"/>
    <n v="37.840499999999999"/>
    <x v="230"/>
    <d v="2019-02-11T00:00:00"/>
    <n v="8"/>
    <x v="1"/>
    <n v="2"/>
    <x v="1"/>
    <n v="2019"/>
  </r>
  <r>
    <s v="Cairo"/>
    <x v="2"/>
    <s v="Member"/>
    <x v="1"/>
    <x v="5"/>
    <n v="73.819999999999993"/>
    <n v="4"/>
    <n v="14.763999999999999"/>
    <x v="231"/>
    <d v="2019-02-21T00:00:00"/>
    <n v="6.7"/>
    <x v="1"/>
    <n v="2"/>
    <x v="2"/>
    <n v="2019"/>
  </r>
  <r>
    <s v="Alex"/>
    <x v="0"/>
    <s v="Member"/>
    <x v="1"/>
    <x v="0"/>
    <n v="51.94"/>
    <n v="10"/>
    <n v="25.97"/>
    <x v="232"/>
    <d v="2019-03-09T00:00:00"/>
    <n v="6.5"/>
    <x v="1"/>
    <n v="3"/>
    <x v="2"/>
    <n v="2019"/>
  </r>
  <r>
    <s v="Alex"/>
    <x v="0"/>
    <s v="Normal"/>
    <x v="0"/>
    <x v="3"/>
    <n v="93.14"/>
    <n v="2"/>
    <n v="9.3140000000000001"/>
    <x v="233"/>
    <d v="2019-01-20T00:00:00"/>
    <n v="4.0999999999999996"/>
    <x v="2"/>
    <n v="1"/>
    <x v="1"/>
    <n v="2019"/>
  </r>
  <r>
    <s v="Giza"/>
    <x v="1"/>
    <s v="Normal"/>
    <x v="1"/>
    <x v="0"/>
    <n v="17.41"/>
    <n v="5"/>
    <n v="4.3525"/>
    <x v="234"/>
    <d v="2019-01-28T00:00:00"/>
    <n v="4.9000000000000004"/>
    <x v="2"/>
    <n v="1"/>
    <x v="0"/>
    <n v="2019"/>
  </r>
  <r>
    <s v="Giza"/>
    <x v="1"/>
    <s v="Member"/>
    <x v="0"/>
    <x v="5"/>
    <n v="44.22"/>
    <n v="5"/>
    <n v="11.055"/>
    <x v="235"/>
    <d v="2019-03-05T00:00:00"/>
    <n v="8.6"/>
    <x v="0"/>
    <n v="3"/>
    <x v="0"/>
    <n v="2019"/>
  </r>
  <r>
    <s v="Cairo"/>
    <x v="2"/>
    <s v="Member"/>
    <x v="0"/>
    <x v="1"/>
    <n v="13.22"/>
    <n v="5"/>
    <n v="3.3050000000000002"/>
    <x v="236"/>
    <d v="2019-03-02T00:00:00"/>
    <n v="4.3"/>
    <x v="2"/>
    <n v="3"/>
    <x v="1"/>
    <n v="2019"/>
  </r>
  <r>
    <s v="Alex"/>
    <x v="0"/>
    <s v="Normal"/>
    <x v="1"/>
    <x v="5"/>
    <n v="89.69"/>
    <n v="1"/>
    <n v="4.4844999999999997"/>
    <x v="237"/>
    <d v="2019-01-11T00:00:00"/>
    <n v="4.9000000000000004"/>
    <x v="2"/>
    <n v="1"/>
    <x v="1"/>
    <n v="2019"/>
  </r>
  <r>
    <s v="Alex"/>
    <x v="0"/>
    <s v="Normal"/>
    <x v="1"/>
    <x v="4"/>
    <n v="24.94"/>
    <n v="9"/>
    <n v="11.223000000000001"/>
    <x v="238"/>
    <d v="2019-01-11T00:00:00"/>
    <n v="5.6"/>
    <x v="1"/>
    <n v="1"/>
    <x v="0"/>
    <n v="2019"/>
  </r>
  <r>
    <s v="Alex"/>
    <x v="0"/>
    <s v="Normal"/>
    <x v="1"/>
    <x v="0"/>
    <n v="59.77"/>
    <n v="2"/>
    <n v="5.9770000000000003"/>
    <x v="239"/>
    <d v="2019-03-11T00:00:00"/>
    <n v="5.8"/>
    <x v="1"/>
    <n v="3"/>
    <x v="0"/>
    <n v="2019"/>
  </r>
  <r>
    <s v="Giza"/>
    <x v="1"/>
    <s v="Member"/>
    <x v="1"/>
    <x v="5"/>
    <n v="93.2"/>
    <n v="2"/>
    <n v="9.32"/>
    <x v="240"/>
    <d v="2019-02-28T00:00:00"/>
    <n v="6"/>
    <x v="1"/>
    <n v="2"/>
    <x v="1"/>
    <n v="2019"/>
  </r>
  <r>
    <s v="Alex"/>
    <x v="0"/>
    <s v="Member"/>
    <x v="1"/>
    <x v="2"/>
    <n v="62.65"/>
    <n v="4"/>
    <n v="12.53"/>
    <x v="241"/>
    <d v="2019-01-05T00:00:00"/>
    <n v="4.2"/>
    <x v="2"/>
    <n v="1"/>
    <x v="2"/>
    <n v="2019"/>
  </r>
  <r>
    <s v="Cairo"/>
    <x v="2"/>
    <s v="Normal"/>
    <x v="1"/>
    <x v="2"/>
    <n v="93.87"/>
    <n v="8"/>
    <n v="37.548000000000002"/>
    <x v="242"/>
    <d v="2019-02-02T00:00:00"/>
    <n v="8.3000000000000007"/>
    <x v="0"/>
    <n v="2"/>
    <x v="0"/>
    <n v="2019"/>
  </r>
  <r>
    <s v="Alex"/>
    <x v="0"/>
    <s v="Member"/>
    <x v="1"/>
    <x v="2"/>
    <n v="47.59"/>
    <n v="8"/>
    <n v="19.036000000000001"/>
    <x v="243"/>
    <d v="2019-01-01T00:00:00"/>
    <n v="5.7"/>
    <x v="1"/>
    <n v="1"/>
    <x v="2"/>
    <n v="2019"/>
  </r>
  <r>
    <s v="Cairo"/>
    <x v="2"/>
    <s v="Member"/>
    <x v="0"/>
    <x v="1"/>
    <n v="81.400000000000006"/>
    <n v="3"/>
    <n v="12.21"/>
    <x v="244"/>
    <d v="2019-02-09T00:00:00"/>
    <n v="4.8"/>
    <x v="2"/>
    <n v="2"/>
    <x v="0"/>
    <n v="2019"/>
  </r>
  <r>
    <s v="Alex"/>
    <x v="0"/>
    <s v="Member"/>
    <x v="1"/>
    <x v="5"/>
    <n v="17.940000000000001"/>
    <n v="5"/>
    <n v="4.4850000000000003"/>
    <x v="245"/>
    <d v="2019-01-23T00:00:00"/>
    <n v="6.8"/>
    <x v="1"/>
    <n v="1"/>
    <x v="2"/>
    <n v="2019"/>
  </r>
  <r>
    <s v="Alex"/>
    <x v="0"/>
    <s v="Member"/>
    <x v="1"/>
    <x v="1"/>
    <n v="77.72"/>
    <n v="4"/>
    <n v="15.544"/>
    <x v="246"/>
    <d v="2019-01-07T00:00:00"/>
    <n v="8.8000000000000007"/>
    <x v="0"/>
    <n v="1"/>
    <x v="0"/>
    <n v="2019"/>
  </r>
  <r>
    <s v="Cairo"/>
    <x v="2"/>
    <s v="Normal"/>
    <x v="1"/>
    <x v="4"/>
    <n v="73.06"/>
    <n v="7"/>
    <n v="25.571000000000002"/>
    <x v="247"/>
    <d v="2019-01-14T00:00:00"/>
    <n v="4.2"/>
    <x v="2"/>
    <n v="1"/>
    <x v="0"/>
    <n v="2019"/>
  </r>
  <r>
    <s v="Cairo"/>
    <x v="2"/>
    <s v="Member"/>
    <x v="1"/>
    <x v="4"/>
    <n v="46.55"/>
    <n v="9"/>
    <n v="20.947500000000002"/>
    <x v="248"/>
    <d v="2019-02-02T00:00:00"/>
    <n v="6.4"/>
    <x v="1"/>
    <n v="2"/>
    <x v="0"/>
    <n v="2019"/>
  </r>
  <r>
    <s v="Giza"/>
    <x v="1"/>
    <s v="Member"/>
    <x v="1"/>
    <x v="5"/>
    <n v="35.19"/>
    <n v="10"/>
    <n v="17.594999999999999"/>
    <x v="249"/>
    <d v="2019-03-17T00:00:00"/>
    <n v="8.4"/>
    <x v="0"/>
    <n v="3"/>
    <x v="2"/>
    <n v="2019"/>
  </r>
  <r>
    <s v="Giza"/>
    <x v="1"/>
    <s v="Normal"/>
    <x v="0"/>
    <x v="3"/>
    <n v="14.39"/>
    <n v="2"/>
    <n v="1.4390000000000001"/>
    <x v="250"/>
    <d v="2019-03-02T00:00:00"/>
    <n v="7.2"/>
    <x v="1"/>
    <n v="3"/>
    <x v="1"/>
    <n v="2019"/>
  </r>
  <r>
    <s v="Alex"/>
    <x v="0"/>
    <s v="Normal"/>
    <x v="1"/>
    <x v="2"/>
    <n v="23.75"/>
    <n v="4"/>
    <n v="4.75"/>
    <x v="251"/>
    <d v="2019-03-16T00:00:00"/>
    <n v="5.2"/>
    <x v="1"/>
    <n v="3"/>
    <x v="1"/>
    <n v="2019"/>
  </r>
  <r>
    <s v="Alex"/>
    <x v="0"/>
    <s v="Member"/>
    <x v="1"/>
    <x v="2"/>
    <n v="58.9"/>
    <n v="8"/>
    <n v="23.56"/>
    <x v="252"/>
    <d v="2019-01-06T00:00:00"/>
    <n v="8.9"/>
    <x v="0"/>
    <n v="1"/>
    <x v="1"/>
    <n v="2019"/>
  </r>
  <r>
    <s v="Cairo"/>
    <x v="2"/>
    <s v="Member"/>
    <x v="1"/>
    <x v="5"/>
    <n v="32.619999999999997"/>
    <n v="4"/>
    <n v="6.524"/>
    <x v="253"/>
    <d v="2019-01-29T00:00:00"/>
    <n v="9"/>
    <x v="0"/>
    <n v="1"/>
    <x v="0"/>
    <n v="2019"/>
  </r>
  <r>
    <s v="Alex"/>
    <x v="0"/>
    <s v="Member"/>
    <x v="1"/>
    <x v="1"/>
    <n v="66.349999999999994"/>
    <n v="1"/>
    <n v="3.3174999999999999"/>
    <x v="254"/>
    <d v="2019-01-31T00:00:00"/>
    <n v="9.6999999999999993"/>
    <x v="0"/>
    <n v="1"/>
    <x v="0"/>
    <n v="2019"/>
  </r>
  <r>
    <s v="Alex"/>
    <x v="0"/>
    <s v="Member"/>
    <x v="1"/>
    <x v="2"/>
    <n v="25.91"/>
    <n v="6"/>
    <n v="7.7729999999999997"/>
    <x v="255"/>
    <d v="2019-02-05T00:00:00"/>
    <n v="8.6999999999999993"/>
    <x v="0"/>
    <n v="2"/>
    <x v="0"/>
    <n v="2019"/>
  </r>
  <r>
    <s v="Alex"/>
    <x v="0"/>
    <s v="Member"/>
    <x v="1"/>
    <x v="1"/>
    <n v="32.25"/>
    <n v="4"/>
    <n v="6.45"/>
    <x v="256"/>
    <d v="2019-02-13T00:00:00"/>
    <n v="6.5"/>
    <x v="1"/>
    <n v="2"/>
    <x v="2"/>
    <n v="2019"/>
  </r>
  <r>
    <s v="Giza"/>
    <x v="1"/>
    <s v="Member"/>
    <x v="1"/>
    <x v="1"/>
    <n v="65.94"/>
    <n v="4"/>
    <n v="13.188000000000001"/>
    <x v="257"/>
    <d v="2019-02-07T00:00:00"/>
    <n v="6.9"/>
    <x v="1"/>
    <n v="2"/>
    <x v="2"/>
    <n v="2019"/>
  </r>
  <r>
    <s v="Alex"/>
    <x v="0"/>
    <s v="Normal"/>
    <x v="0"/>
    <x v="1"/>
    <n v="75.06"/>
    <n v="9"/>
    <n v="33.777000000000001"/>
    <x v="258"/>
    <d v="2019-03-19T00:00:00"/>
    <n v="6.2"/>
    <x v="1"/>
    <n v="3"/>
    <x v="2"/>
    <n v="2019"/>
  </r>
  <r>
    <s v="Giza"/>
    <x v="1"/>
    <s v="Normal"/>
    <x v="0"/>
    <x v="5"/>
    <n v="16.45"/>
    <n v="4"/>
    <n v="3.29"/>
    <x v="259"/>
    <d v="2019-03-07T00:00:00"/>
    <n v="5.6"/>
    <x v="1"/>
    <n v="3"/>
    <x v="1"/>
    <n v="2019"/>
  </r>
  <r>
    <s v="Cairo"/>
    <x v="2"/>
    <s v="Member"/>
    <x v="0"/>
    <x v="5"/>
    <n v="38.299999999999997"/>
    <n v="4"/>
    <n v="7.66"/>
    <x v="260"/>
    <d v="2019-03-13T00:00:00"/>
    <n v="5.7"/>
    <x v="1"/>
    <n v="3"/>
    <x v="1"/>
    <n v="2019"/>
  </r>
  <r>
    <s v="Alex"/>
    <x v="0"/>
    <s v="Member"/>
    <x v="0"/>
    <x v="3"/>
    <n v="22.24"/>
    <n v="10"/>
    <n v="11.12"/>
    <x v="261"/>
    <d v="2019-02-09T00:00:00"/>
    <n v="4.2"/>
    <x v="2"/>
    <n v="2"/>
    <x v="1"/>
    <n v="2019"/>
  </r>
  <r>
    <s v="Cairo"/>
    <x v="2"/>
    <s v="Normal"/>
    <x v="1"/>
    <x v="3"/>
    <n v="54.45"/>
    <n v="1"/>
    <n v="2.7225000000000001"/>
    <x v="262"/>
    <d v="2019-02-26T00:00:00"/>
    <n v="7.9"/>
    <x v="1"/>
    <n v="2"/>
    <x v="2"/>
    <n v="2019"/>
  </r>
  <r>
    <s v="Alex"/>
    <x v="0"/>
    <s v="Member"/>
    <x v="0"/>
    <x v="3"/>
    <n v="98.4"/>
    <n v="7"/>
    <n v="34.44"/>
    <x v="263"/>
    <d v="2019-03-12T00:00:00"/>
    <n v="8.6999999999999993"/>
    <x v="0"/>
    <n v="3"/>
    <x v="2"/>
    <n v="2019"/>
  </r>
  <r>
    <s v="Giza"/>
    <x v="1"/>
    <s v="Normal"/>
    <x v="1"/>
    <x v="2"/>
    <n v="35.47"/>
    <n v="4"/>
    <n v="7.0940000000000003"/>
    <x v="264"/>
    <d v="2019-03-14T00:00:00"/>
    <n v="6.9"/>
    <x v="1"/>
    <n v="3"/>
    <x v="1"/>
    <n v="2019"/>
  </r>
  <r>
    <s v="Cairo"/>
    <x v="2"/>
    <s v="Member"/>
    <x v="0"/>
    <x v="4"/>
    <n v="74.599999999999994"/>
    <n v="10"/>
    <n v="37.299999999999997"/>
    <x v="265"/>
    <d v="2019-01-08T00:00:00"/>
    <n v="9.5"/>
    <x v="0"/>
    <n v="1"/>
    <x v="1"/>
    <n v="2019"/>
  </r>
  <r>
    <s v="Alex"/>
    <x v="0"/>
    <s v="Member"/>
    <x v="1"/>
    <x v="2"/>
    <n v="70.739999999999995"/>
    <n v="4"/>
    <n v="14.148"/>
    <x v="266"/>
    <d v="2019-01-05T00:00:00"/>
    <n v="4.4000000000000004"/>
    <x v="2"/>
    <n v="1"/>
    <x v="0"/>
    <n v="2019"/>
  </r>
  <r>
    <s v="Alex"/>
    <x v="0"/>
    <s v="Member"/>
    <x v="0"/>
    <x v="2"/>
    <n v="35.54"/>
    <n v="10"/>
    <n v="17.77"/>
    <x v="267"/>
    <d v="2019-01-04T00:00:00"/>
    <n v="7"/>
    <x v="1"/>
    <n v="1"/>
    <x v="0"/>
    <n v="2019"/>
  </r>
  <r>
    <s v="Cairo"/>
    <x v="2"/>
    <s v="Normal"/>
    <x v="0"/>
    <x v="3"/>
    <n v="67.430000000000007"/>
    <n v="5"/>
    <n v="16.857500000000002"/>
    <x v="268"/>
    <d v="2019-03-06T00:00:00"/>
    <n v="6.3"/>
    <x v="1"/>
    <n v="3"/>
    <x v="0"/>
    <n v="2019"/>
  </r>
  <r>
    <s v="Giza"/>
    <x v="1"/>
    <s v="Member"/>
    <x v="0"/>
    <x v="0"/>
    <n v="21.12"/>
    <n v="2"/>
    <n v="2.1120000000000001"/>
    <x v="269"/>
    <d v="2019-01-03T00:00:00"/>
    <n v="9.6999999999999993"/>
    <x v="0"/>
    <n v="1"/>
    <x v="1"/>
    <n v="2019"/>
  </r>
  <r>
    <s v="Alex"/>
    <x v="0"/>
    <s v="Member"/>
    <x v="0"/>
    <x v="2"/>
    <n v="21.54"/>
    <n v="9"/>
    <n v="9.6929999999999996"/>
    <x v="270"/>
    <d v="2019-01-07T00:00:00"/>
    <n v="8.8000000000000007"/>
    <x v="0"/>
    <n v="1"/>
    <x v="0"/>
    <n v="2019"/>
  </r>
  <r>
    <s v="Alex"/>
    <x v="0"/>
    <s v="Normal"/>
    <x v="0"/>
    <x v="2"/>
    <n v="12.03"/>
    <n v="2"/>
    <n v="1.2030000000000001"/>
    <x v="271"/>
    <d v="2019-01-27T00:00:00"/>
    <n v="5.0999999999999996"/>
    <x v="1"/>
    <n v="1"/>
    <x v="0"/>
    <n v="2019"/>
  </r>
  <r>
    <s v="Cairo"/>
    <x v="2"/>
    <s v="Normal"/>
    <x v="0"/>
    <x v="0"/>
    <n v="99.71"/>
    <n v="6"/>
    <n v="29.913"/>
    <x v="272"/>
    <d v="2019-02-26T00:00:00"/>
    <n v="7.9"/>
    <x v="1"/>
    <n v="2"/>
    <x v="0"/>
    <n v="2019"/>
  </r>
  <r>
    <s v="Cairo"/>
    <x v="2"/>
    <s v="Normal"/>
    <x v="1"/>
    <x v="5"/>
    <n v="47.97"/>
    <n v="7"/>
    <n v="16.7895"/>
    <x v="273"/>
    <d v="2019-01-07T00:00:00"/>
    <n v="6.2"/>
    <x v="1"/>
    <n v="1"/>
    <x v="2"/>
    <n v="2019"/>
  </r>
  <r>
    <s v="Giza"/>
    <x v="1"/>
    <s v="Member"/>
    <x v="0"/>
    <x v="2"/>
    <n v="21.82"/>
    <n v="10"/>
    <n v="10.91"/>
    <x v="274"/>
    <d v="2019-01-07T00:00:00"/>
    <n v="7.1"/>
    <x v="1"/>
    <n v="1"/>
    <x v="0"/>
    <n v="2019"/>
  </r>
  <r>
    <s v="Giza"/>
    <x v="1"/>
    <s v="Normal"/>
    <x v="0"/>
    <x v="5"/>
    <n v="95.42"/>
    <n v="4"/>
    <n v="19.084"/>
    <x v="275"/>
    <d v="2019-02-02T00:00:00"/>
    <n v="6.4"/>
    <x v="1"/>
    <n v="2"/>
    <x v="0"/>
    <n v="2019"/>
  </r>
  <r>
    <s v="Giza"/>
    <x v="1"/>
    <s v="Member"/>
    <x v="1"/>
    <x v="5"/>
    <n v="70.989999999999995"/>
    <n v="10"/>
    <n v="35.494999999999997"/>
    <x v="276"/>
    <d v="2019-03-20T00:00:00"/>
    <n v="5.7"/>
    <x v="1"/>
    <n v="3"/>
    <x v="2"/>
    <n v="2019"/>
  </r>
  <r>
    <s v="Alex"/>
    <x v="0"/>
    <s v="Member"/>
    <x v="1"/>
    <x v="3"/>
    <n v="44.02"/>
    <n v="10"/>
    <n v="22.01"/>
    <x v="277"/>
    <d v="2019-03-20T00:00:00"/>
    <n v="9.6"/>
    <x v="0"/>
    <n v="3"/>
    <x v="1"/>
    <n v="2019"/>
  </r>
  <r>
    <s v="Alex"/>
    <x v="0"/>
    <s v="Normal"/>
    <x v="0"/>
    <x v="2"/>
    <n v="69.959999999999994"/>
    <n v="8"/>
    <n v="27.984000000000002"/>
    <x v="278"/>
    <d v="2019-02-15T00:00:00"/>
    <n v="6.4"/>
    <x v="1"/>
    <n v="2"/>
    <x v="1"/>
    <n v="2019"/>
  </r>
  <r>
    <s v="Giza"/>
    <x v="1"/>
    <s v="Normal"/>
    <x v="1"/>
    <x v="2"/>
    <n v="37"/>
    <n v="1"/>
    <n v="1.85"/>
    <x v="279"/>
    <d v="2019-03-06T00:00:00"/>
    <n v="7.9"/>
    <x v="1"/>
    <n v="3"/>
    <x v="2"/>
    <n v="2019"/>
  </r>
  <r>
    <s v="Alex"/>
    <x v="0"/>
    <s v="Normal"/>
    <x v="0"/>
    <x v="3"/>
    <n v="15.34"/>
    <n v="1"/>
    <n v="0.76700000000000002"/>
    <x v="280"/>
    <d v="2019-01-06T00:00:00"/>
    <n v="6.5"/>
    <x v="1"/>
    <n v="1"/>
    <x v="1"/>
    <n v="2019"/>
  </r>
  <r>
    <s v="Alex"/>
    <x v="0"/>
    <s v="Member"/>
    <x v="1"/>
    <x v="0"/>
    <n v="99.83"/>
    <n v="6"/>
    <n v="29.949000000000002"/>
    <x v="281"/>
    <d v="2019-03-04T00:00:00"/>
    <n v="8.5"/>
    <x v="0"/>
    <n v="3"/>
    <x v="0"/>
    <n v="2019"/>
  </r>
  <r>
    <s v="Alex"/>
    <x v="0"/>
    <s v="Member"/>
    <x v="0"/>
    <x v="0"/>
    <n v="47.67"/>
    <n v="4"/>
    <n v="9.5340000000000007"/>
    <x v="282"/>
    <d v="2019-03-12T00:00:00"/>
    <n v="9.1"/>
    <x v="0"/>
    <n v="3"/>
    <x v="1"/>
    <n v="2019"/>
  </r>
  <r>
    <s v="Cairo"/>
    <x v="2"/>
    <s v="Normal"/>
    <x v="1"/>
    <x v="0"/>
    <n v="66.680000000000007"/>
    <n v="5"/>
    <n v="16.670000000000002"/>
    <x v="283"/>
    <d v="2019-02-20T00:00:00"/>
    <n v="7.6"/>
    <x v="1"/>
    <n v="2"/>
    <x v="1"/>
    <n v="2019"/>
  </r>
  <r>
    <s v="Giza"/>
    <x v="1"/>
    <s v="Member"/>
    <x v="1"/>
    <x v="2"/>
    <n v="74.86"/>
    <n v="1"/>
    <n v="3.7429999999999999"/>
    <x v="284"/>
    <d v="2019-03-24T00:00:00"/>
    <n v="6.9"/>
    <x v="1"/>
    <n v="3"/>
    <x v="2"/>
    <n v="2019"/>
  </r>
  <r>
    <s v="Giza"/>
    <x v="1"/>
    <s v="Normal"/>
    <x v="0"/>
    <x v="3"/>
    <n v="23.75"/>
    <n v="9"/>
    <n v="10.6875"/>
    <x v="285"/>
    <d v="2019-01-31T00:00:00"/>
    <n v="9.5"/>
    <x v="0"/>
    <n v="1"/>
    <x v="1"/>
    <n v="2019"/>
  </r>
  <r>
    <s v="Cairo"/>
    <x v="2"/>
    <s v="Normal"/>
    <x v="0"/>
    <x v="4"/>
    <n v="48.51"/>
    <n v="7"/>
    <n v="16.9785"/>
    <x v="286"/>
    <d v="2019-01-25T00:00:00"/>
    <n v="5.2"/>
    <x v="1"/>
    <n v="1"/>
    <x v="0"/>
    <n v="2019"/>
  </r>
  <r>
    <s v="Alex"/>
    <x v="0"/>
    <s v="Member"/>
    <x v="0"/>
    <x v="2"/>
    <n v="94.88"/>
    <n v="7"/>
    <n v="33.207999999999998"/>
    <x v="287"/>
    <d v="2019-02-03T00:00:00"/>
    <n v="4.2"/>
    <x v="2"/>
    <n v="2"/>
    <x v="0"/>
    <n v="2019"/>
  </r>
  <r>
    <s v="Cairo"/>
    <x v="2"/>
    <s v="Member"/>
    <x v="1"/>
    <x v="1"/>
    <n v="40.299999999999997"/>
    <n v="10"/>
    <n v="20.149999999999999"/>
    <x v="288"/>
    <d v="2019-01-24T00:00:00"/>
    <n v="7"/>
    <x v="1"/>
    <n v="1"/>
    <x v="2"/>
    <n v="2019"/>
  </r>
  <r>
    <s v="Giza"/>
    <x v="1"/>
    <s v="Normal"/>
    <x v="1"/>
    <x v="1"/>
    <n v="27.85"/>
    <n v="7"/>
    <n v="9.7475000000000005"/>
    <x v="289"/>
    <d v="2019-03-14T00:00:00"/>
    <n v="6"/>
    <x v="1"/>
    <n v="3"/>
    <x v="0"/>
    <n v="2019"/>
  </r>
  <r>
    <s v="Alex"/>
    <x v="0"/>
    <s v="Member"/>
    <x v="0"/>
    <x v="1"/>
    <n v="62.48"/>
    <n v="1"/>
    <n v="3.1240000000000001"/>
    <x v="290"/>
    <d v="2019-02-18T00:00:00"/>
    <n v="4.7"/>
    <x v="2"/>
    <n v="2"/>
    <x v="1"/>
    <n v="2019"/>
  </r>
  <r>
    <s v="Alex"/>
    <x v="0"/>
    <s v="Member"/>
    <x v="0"/>
    <x v="4"/>
    <n v="36.36"/>
    <n v="2"/>
    <n v="3.6360000000000001"/>
    <x v="291"/>
    <d v="2019-01-21T00:00:00"/>
    <n v="7.1"/>
    <x v="1"/>
    <n v="1"/>
    <x v="2"/>
    <n v="2019"/>
  </r>
  <r>
    <s v="Cairo"/>
    <x v="2"/>
    <s v="Normal"/>
    <x v="1"/>
    <x v="0"/>
    <n v="18.11"/>
    <n v="10"/>
    <n v="9.0549999999999997"/>
    <x v="292"/>
    <d v="2019-03-13T00:00:00"/>
    <n v="5.9"/>
    <x v="1"/>
    <n v="3"/>
    <x v="0"/>
    <n v="2019"/>
  </r>
  <r>
    <s v="Giza"/>
    <x v="1"/>
    <s v="Member"/>
    <x v="0"/>
    <x v="1"/>
    <n v="51.92"/>
    <n v="5"/>
    <n v="12.98"/>
    <x v="293"/>
    <d v="2019-03-03T00:00:00"/>
    <n v="7.5"/>
    <x v="1"/>
    <n v="3"/>
    <x v="1"/>
    <n v="2019"/>
  </r>
  <r>
    <s v="Giza"/>
    <x v="1"/>
    <s v="Normal"/>
    <x v="1"/>
    <x v="1"/>
    <n v="28.84"/>
    <n v="4"/>
    <n v="5.7679999999999998"/>
    <x v="294"/>
    <d v="2019-03-29T00:00:00"/>
    <n v="6.4"/>
    <x v="1"/>
    <n v="3"/>
    <x v="1"/>
    <n v="2019"/>
  </r>
  <r>
    <s v="Alex"/>
    <x v="0"/>
    <s v="Member"/>
    <x v="1"/>
    <x v="2"/>
    <n v="78.38"/>
    <n v="6"/>
    <n v="23.513999999999999"/>
    <x v="295"/>
    <d v="2019-01-10T00:00:00"/>
    <n v="5.8"/>
    <x v="1"/>
    <n v="1"/>
    <x v="1"/>
    <n v="2019"/>
  </r>
  <r>
    <s v="Alex"/>
    <x v="0"/>
    <s v="Member"/>
    <x v="1"/>
    <x v="2"/>
    <n v="60.01"/>
    <n v="4"/>
    <n v="12.002000000000001"/>
    <x v="296"/>
    <d v="2019-01-25T00:00:00"/>
    <n v="4.5"/>
    <x v="2"/>
    <n v="1"/>
    <x v="0"/>
    <n v="2019"/>
  </r>
  <r>
    <s v="Giza"/>
    <x v="1"/>
    <s v="Member"/>
    <x v="0"/>
    <x v="2"/>
    <n v="88.61"/>
    <n v="1"/>
    <n v="4.4305000000000003"/>
    <x v="297"/>
    <d v="2019-01-19T00:00:00"/>
    <n v="7.7"/>
    <x v="1"/>
    <n v="1"/>
    <x v="0"/>
    <n v="2019"/>
  </r>
  <r>
    <s v="Giza"/>
    <x v="1"/>
    <s v="Normal"/>
    <x v="1"/>
    <x v="5"/>
    <n v="99.82"/>
    <n v="2"/>
    <n v="9.9819999999999993"/>
    <x v="298"/>
    <d v="2019-01-02T00:00:00"/>
    <n v="6.7"/>
    <x v="1"/>
    <n v="1"/>
    <x v="0"/>
    <n v="2019"/>
  </r>
  <r>
    <s v="Cairo"/>
    <x v="2"/>
    <s v="Member"/>
    <x v="1"/>
    <x v="0"/>
    <n v="39.01"/>
    <n v="1"/>
    <n v="1.9504999999999999"/>
    <x v="299"/>
    <d v="2019-03-12T00:00:00"/>
    <n v="4.7"/>
    <x v="2"/>
    <n v="3"/>
    <x v="0"/>
    <n v="2019"/>
  </r>
  <r>
    <s v="Giza"/>
    <x v="1"/>
    <s v="Normal"/>
    <x v="1"/>
    <x v="4"/>
    <n v="48.61"/>
    <n v="1"/>
    <n v="2.4304999999999999"/>
    <x v="300"/>
    <d v="2019-02-25T00:00:00"/>
    <n v="4.4000000000000004"/>
    <x v="2"/>
    <n v="2"/>
    <x v="1"/>
    <n v="2019"/>
  </r>
  <r>
    <s v="Alex"/>
    <x v="0"/>
    <s v="Normal"/>
    <x v="0"/>
    <x v="1"/>
    <n v="51.19"/>
    <n v="4"/>
    <n v="10.238"/>
    <x v="301"/>
    <d v="2019-03-18T00:00:00"/>
    <n v="4.7"/>
    <x v="2"/>
    <n v="3"/>
    <x v="2"/>
    <n v="2019"/>
  </r>
  <r>
    <s v="Cairo"/>
    <x v="2"/>
    <s v="Normal"/>
    <x v="0"/>
    <x v="1"/>
    <n v="14.96"/>
    <n v="8"/>
    <n v="5.984"/>
    <x v="302"/>
    <d v="2019-02-23T00:00:00"/>
    <n v="8.6"/>
    <x v="0"/>
    <n v="2"/>
    <x v="1"/>
    <n v="2019"/>
  </r>
  <r>
    <s v="Alex"/>
    <x v="0"/>
    <s v="Member"/>
    <x v="1"/>
    <x v="1"/>
    <n v="72.2"/>
    <n v="7"/>
    <n v="25.27"/>
    <x v="303"/>
    <d v="2019-03-26T00:00:00"/>
    <n v="4.3"/>
    <x v="2"/>
    <n v="3"/>
    <x v="2"/>
    <n v="2019"/>
  </r>
  <r>
    <s v="Alex"/>
    <x v="0"/>
    <s v="Normal"/>
    <x v="0"/>
    <x v="3"/>
    <n v="40.229999999999997"/>
    <n v="7"/>
    <n v="14.080500000000001"/>
    <x v="304"/>
    <d v="2019-03-30T00:00:00"/>
    <n v="9.6"/>
    <x v="0"/>
    <n v="3"/>
    <x v="1"/>
    <n v="2019"/>
  </r>
  <r>
    <s v="Alex"/>
    <x v="0"/>
    <s v="Member"/>
    <x v="0"/>
    <x v="2"/>
    <n v="88.79"/>
    <n v="8"/>
    <n v="35.515999999999998"/>
    <x v="305"/>
    <d v="2019-02-17T00:00:00"/>
    <n v="4.0999999999999996"/>
    <x v="2"/>
    <n v="2"/>
    <x v="1"/>
    <n v="2019"/>
  </r>
  <r>
    <s v="Alex"/>
    <x v="0"/>
    <s v="Member"/>
    <x v="0"/>
    <x v="1"/>
    <n v="26.48"/>
    <n v="3"/>
    <n v="3.972"/>
    <x v="306"/>
    <d v="2019-03-21T00:00:00"/>
    <n v="4.7"/>
    <x v="2"/>
    <n v="3"/>
    <x v="2"/>
    <n v="2019"/>
  </r>
  <r>
    <s v="Alex"/>
    <x v="0"/>
    <s v="Normal"/>
    <x v="0"/>
    <x v="5"/>
    <n v="81.91"/>
    <n v="2"/>
    <n v="8.1910000000000007"/>
    <x v="307"/>
    <d v="2019-03-05T00:00:00"/>
    <n v="7.8"/>
    <x v="1"/>
    <n v="3"/>
    <x v="1"/>
    <n v="2019"/>
  </r>
  <r>
    <s v="Cairo"/>
    <x v="2"/>
    <s v="Member"/>
    <x v="1"/>
    <x v="3"/>
    <n v="79.930000000000007"/>
    <n v="6"/>
    <n v="23.978999999999999"/>
    <x v="308"/>
    <d v="2019-01-31T00:00:00"/>
    <n v="5.5"/>
    <x v="1"/>
    <n v="1"/>
    <x v="1"/>
    <n v="2019"/>
  </r>
  <r>
    <s v="Giza"/>
    <x v="1"/>
    <s v="Member"/>
    <x v="1"/>
    <x v="5"/>
    <n v="69.33"/>
    <n v="2"/>
    <n v="6.9329999999999998"/>
    <x v="309"/>
    <d v="2019-02-05T00:00:00"/>
    <n v="9.6999999999999993"/>
    <x v="0"/>
    <n v="2"/>
    <x v="0"/>
    <n v="2019"/>
  </r>
  <r>
    <s v="Alex"/>
    <x v="0"/>
    <s v="Member"/>
    <x v="0"/>
    <x v="4"/>
    <n v="14.23"/>
    <n v="5"/>
    <n v="3.5575000000000001"/>
    <x v="310"/>
    <d v="2019-02-01T00:00:00"/>
    <n v="4.4000000000000004"/>
    <x v="2"/>
    <n v="2"/>
    <x v="2"/>
    <n v="2019"/>
  </r>
  <r>
    <s v="Alex"/>
    <x v="0"/>
    <s v="Member"/>
    <x v="0"/>
    <x v="0"/>
    <n v="15.55"/>
    <n v="9"/>
    <n v="6.9974999999999996"/>
    <x v="311"/>
    <d v="2019-03-07T00:00:00"/>
    <n v="5"/>
    <x v="1"/>
    <n v="3"/>
    <x v="2"/>
    <n v="2019"/>
  </r>
  <r>
    <s v="Giza"/>
    <x v="1"/>
    <s v="Member"/>
    <x v="0"/>
    <x v="1"/>
    <n v="78.13"/>
    <n v="10"/>
    <n v="39.064999999999998"/>
    <x v="312"/>
    <d v="2019-02-10T00:00:00"/>
    <n v="4.4000000000000004"/>
    <x v="2"/>
    <n v="2"/>
    <x v="1"/>
    <n v="2019"/>
  </r>
  <r>
    <s v="Giza"/>
    <x v="1"/>
    <s v="Member"/>
    <x v="1"/>
    <x v="4"/>
    <n v="99.37"/>
    <n v="2"/>
    <n v="9.9369999999999994"/>
    <x v="313"/>
    <d v="2019-02-14T00:00:00"/>
    <n v="5.2"/>
    <x v="1"/>
    <n v="2"/>
    <x v="2"/>
    <n v="2019"/>
  </r>
  <r>
    <s v="Giza"/>
    <x v="1"/>
    <s v="Member"/>
    <x v="0"/>
    <x v="4"/>
    <n v="21.08"/>
    <n v="3"/>
    <n v="3.1619999999999999"/>
    <x v="314"/>
    <d v="2019-02-09T00:00:00"/>
    <n v="7.3"/>
    <x v="1"/>
    <n v="2"/>
    <x v="2"/>
    <n v="2019"/>
  </r>
  <r>
    <s v="Giza"/>
    <x v="1"/>
    <s v="Member"/>
    <x v="1"/>
    <x v="1"/>
    <n v="74.790000000000006"/>
    <n v="5"/>
    <n v="18.697500000000002"/>
    <x v="315"/>
    <d v="2019-01-10T00:00:00"/>
    <n v="4.9000000000000004"/>
    <x v="2"/>
    <n v="1"/>
    <x v="2"/>
    <n v="2019"/>
  </r>
  <r>
    <s v="Giza"/>
    <x v="1"/>
    <s v="Member"/>
    <x v="0"/>
    <x v="0"/>
    <n v="29.67"/>
    <n v="7"/>
    <n v="10.384499999999999"/>
    <x v="316"/>
    <d v="2019-03-11T00:00:00"/>
    <n v="8.1"/>
    <x v="0"/>
    <n v="3"/>
    <x v="0"/>
    <n v="2019"/>
  </r>
  <r>
    <s v="Giza"/>
    <x v="1"/>
    <s v="Member"/>
    <x v="1"/>
    <x v="0"/>
    <n v="44.07"/>
    <n v="4"/>
    <n v="8.8140000000000001"/>
    <x v="317"/>
    <d v="2019-02-18T00:00:00"/>
    <n v="8.4"/>
    <x v="0"/>
    <n v="2"/>
    <x v="1"/>
    <n v="2019"/>
  </r>
  <r>
    <s v="Giza"/>
    <x v="1"/>
    <s v="Normal"/>
    <x v="0"/>
    <x v="4"/>
    <n v="22.93"/>
    <n v="9"/>
    <n v="10.3185"/>
    <x v="318"/>
    <d v="2019-02-26T00:00:00"/>
    <n v="5.5"/>
    <x v="1"/>
    <n v="2"/>
    <x v="2"/>
    <n v="2019"/>
  </r>
  <r>
    <s v="Giza"/>
    <x v="1"/>
    <s v="Normal"/>
    <x v="0"/>
    <x v="0"/>
    <n v="39.42"/>
    <n v="1"/>
    <n v="1.9710000000000001"/>
    <x v="319"/>
    <d v="2019-01-18T00:00:00"/>
    <n v="8.4"/>
    <x v="0"/>
    <n v="1"/>
    <x v="2"/>
    <n v="2019"/>
  </r>
  <r>
    <s v="Alex"/>
    <x v="0"/>
    <s v="Normal"/>
    <x v="1"/>
    <x v="0"/>
    <n v="15.26"/>
    <n v="6"/>
    <n v="4.5780000000000003"/>
    <x v="320"/>
    <d v="2019-02-15T00:00:00"/>
    <n v="9.8000000000000007"/>
    <x v="0"/>
    <n v="2"/>
    <x v="0"/>
    <n v="2019"/>
  </r>
  <r>
    <s v="Alex"/>
    <x v="0"/>
    <s v="Normal"/>
    <x v="0"/>
    <x v="5"/>
    <n v="61.77"/>
    <n v="5"/>
    <n v="15.442500000000001"/>
    <x v="321"/>
    <d v="2019-03-08T00:00:00"/>
    <n v="6.7"/>
    <x v="1"/>
    <n v="3"/>
    <x v="2"/>
    <n v="2019"/>
  </r>
  <r>
    <s v="Alex"/>
    <x v="0"/>
    <s v="Normal"/>
    <x v="1"/>
    <x v="2"/>
    <n v="21.52"/>
    <n v="6"/>
    <n v="6.4560000000000004"/>
    <x v="322"/>
    <d v="2019-01-17T00:00:00"/>
    <n v="9.4"/>
    <x v="0"/>
    <n v="1"/>
    <x v="1"/>
    <n v="2019"/>
  </r>
  <r>
    <s v="Cairo"/>
    <x v="2"/>
    <s v="Normal"/>
    <x v="1"/>
    <x v="3"/>
    <n v="97.74"/>
    <n v="4"/>
    <n v="19.547999999999998"/>
    <x v="323"/>
    <d v="2019-03-12T00:00:00"/>
    <n v="6.4"/>
    <x v="1"/>
    <n v="3"/>
    <x v="0"/>
    <n v="2019"/>
  </r>
  <r>
    <s v="Alex"/>
    <x v="0"/>
    <s v="Member"/>
    <x v="1"/>
    <x v="4"/>
    <n v="99.78"/>
    <n v="5"/>
    <n v="24.945"/>
    <x v="324"/>
    <d v="2019-03-09T00:00:00"/>
    <n v="5.4"/>
    <x v="1"/>
    <n v="3"/>
    <x v="1"/>
    <n v="2019"/>
  </r>
  <r>
    <s v="Giza"/>
    <x v="1"/>
    <s v="Member"/>
    <x v="1"/>
    <x v="4"/>
    <n v="94.26"/>
    <n v="4"/>
    <n v="18.852"/>
    <x v="325"/>
    <d v="2019-03-12T00:00:00"/>
    <n v="8.6"/>
    <x v="0"/>
    <n v="3"/>
    <x v="1"/>
    <n v="2019"/>
  </r>
  <r>
    <s v="Cairo"/>
    <x v="2"/>
    <s v="Member"/>
    <x v="1"/>
    <x v="0"/>
    <n v="51.13"/>
    <n v="4"/>
    <n v="10.226000000000001"/>
    <x v="326"/>
    <d v="2019-01-25T00:00:00"/>
    <n v="4"/>
    <x v="2"/>
    <n v="1"/>
    <x v="1"/>
    <n v="2019"/>
  </r>
  <r>
    <s v="Alex"/>
    <x v="0"/>
    <s v="Member"/>
    <x v="1"/>
    <x v="1"/>
    <n v="36.36"/>
    <n v="4"/>
    <n v="7.2720000000000002"/>
    <x v="327"/>
    <d v="2019-03-25T00:00:00"/>
    <n v="7.6"/>
    <x v="1"/>
    <n v="3"/>
    <x v="0"/>
    <n v="2019"/>
  </r>
  <r>
    <s v="Cairo"/>
    <x v="2"/>
    <s v="Normal"/>
    <x v="1"/>
    <x v="2"/>
    <n v="22.02"/>
    <n v="9"/>
    <n v="9.9090000000000007"/>
    <x v="328"/>
    <d v="2019-02-07T00:00:00"/>
    <n v="6.8"/>
    <x v="1"/>
    <n v="2"/>
    <x v="1"/>
    <n v="2019"/>
  </r>
  <r>
    <s v="Alex"/>
    <x v="0"/>
    <s v="Normal"/>
    <x v="1"/>
    <x v="4"/>
    <n v="32.9"/>
    <n v="3"/>
    <n v="4.9349999999999996"/>
    <x v="329"/>
    <d v="2019-02-17T00:00:00"/>
    <n v="9.1"/>
    <x v="0"/>
    <n v="2"/>
    <x v="2"/>
    <n v="2019"/>
  </r>
  <r>
    <s v="Alex"/>
    <x v="0"/>
    <s v="Normal"/>
    <x v="1"/>
    <x v="5"/>
    <n v="77.02"/>
    <n v="5"/>
    <n v="19.254999999999999"/>
    <x v="330"/>
    <d v="2019-02-03T00:00:00"/>
    <n v="5.5"/>
    <x v="1"/>
    <n v="2"/>
    <x v="2"/>
    <n v="2019"/>
  </r>
  <r>
    <s v="Alex"/>
    <x v="0"/>
    <s v="Member"/>
    <x v="1"/>
    <x v="4"/>
    <n v="23.48"/>
    <n v="2"/>
    <n v="2.3479999999999999"/>
    <x v="331"/>
    <d v="2019-03-14T00:00:00"/>
    <n v="7.9"/>
    <x v="1"/>
    <n v="3"/>
    <x v="2"/>
    <n v="2019"/>
  </r>
  <r>
    <s v="Giza"/>
    <x v="1"/>
    <s v="Member"/>
    <x v="1"/>
    <x v="3"/>
    <n v="14.7"/>
    <n v="5"/>
    <n v="3.6749999999999998"/>
    <x v="332"/>
    <d v="2019-03-24T00:00:00"/>
    <n v="8.5"/>
    <x v="0"/>
    <n v="3"/>
    <x v="1"/>
    <n v="2019"/>
  </r>
  <r>
    <s v="Alex"/>
    <x v="0"/>
    <s v="Member"/>
    <x v="0"/>
    <x v="1"/>
    <n v="28.45"/>
    <n v="5"/>
    <n v="7.1124999999999998"/>
    <x v="333"/>
    <d v="2019-03-21T00:00:00"/>
    <n v="9.1"/>
    <x v="0"/>
    <n v="3"/>
    <x v="1"/>
    <n v="2019"/>
  </r>
  <r>
    <s v="Alex"/>
    <x v="0"/>
    <s v="Normal"/>
    <x v="1"/>
    <x v="5"/>
    <n v="76.400000000000006"/>
    <n v="9"/>
    <n v="34.380000000000003"/>
    <x v="334"/>
    <d v="2019-03-19T00:00:00"/>
    <n v="7.5"/>
    <x v="1"/>
    <n v="3"/>
    <x v="1"/>
    <n v="2019"/>
  </r>
  <r>
    <s v="Cairo"/>
    <x v="2"/>
    <s v="Normal"/>
    <x v="0"/>
    <x v="3"/>
    <n v="57.95"/>
    <n v="6"/>
    <n v="17.385000000000002"/>
    <x v="335"/>
    <d v="2019-02-24T00:00:00"/>
    <n v="5.2"/>
    <x v="1"/>
    <n v="2"/>
    <x v="1"/>
    <n v="2019"/>
  </r>
  <r>
    <s v="Giza"/>
    <x v="1"/>
    <s v="Normal"/>
    <x v="0"/>
    <x v="1"/>
    <n v="47.65"/>
    <n v="3"/>
    <n v="7.1475"/>
    <x v="336"/>
    <d v="2019-03-28T00:00:00"/>
    <n v="9.5"/>
    <x v="0"/>
    <n v="3"/>
    <x v="2"/>
    <n v="2019"/>
  </r>
  <r>
    <s v="Cairo"/>
    <x v="2"/>
    <s v="Member"/>
    <x v="0"/>
    <x v="4"/>
    <n v="42.82"/>
    <n v="9"/>
    <n v="19.268999999999998"/>
    <x v="337"/>
    <d v="2019-02-05T00:00:00"/>
    <n v="8.9"/>
    <x v="0"/>
    <n v="2"/>
    <x v="1"/>
    <n v="2019"/>
  </r>
  <r>
    <s v="Cairo"/>
    <x v="2"/>
    <s v="Member"/>
    <x v="1"/>
    <x v="1"/>
    <n v="48.09"/>
    <n v="3"/>
    <n v="7.2134999999999998"/>
    <x v="338"/>
    <d v="2019-02-10T00:00:00"/>
    <n v="7.8"/>
    <x v="1"/>
    <n v="2"/>
    <x v="2"/>
    <n v="2019"/>
  </r>
  <r>
    <s v="Cairo"/>
    <x v="2"/>
    <s v="Member"/>
    <x v="0"/>
    <x v="0"/>
    <n v="55.97"/>
    <n v="7"/>
    <n v="19.589500000000001"/>
    <x v="339"/>
    <d v="2019-03-05T00:00:00"/>
    <n v="8.9"/>
    <x v="0"/>
    <n v="3"/>
    <x v="2"/>
    <n v="2019"/>
  </r>
  <r>
    <s v="Cairo"/>
    <x v="2"/>
    <s v="Member"/>
    <x v="0"/>
    <x v="0"/>
    <n v="76.900000000000006"/>
    <n v="7"/>
    <n v="26.914999999999999"/>
    <x v="340"/>
    <d v="2019-02-15T00:00:00"/>
    <n v="7.7"/>
    <x v="1"/>
    <n v="2"/>
    <x v="1"/>
    <n v="2019"/>
  </r>
  <r>
    <s v="Giza"/>
    <x v="1"/>
    <s v="Normal"/>
    <x v="0"/>
    <x v="4"/>
    <n v="97.03"/>
    <n v="5"/>
    <n v="24.2575"/>
    <x v="341"/>
    <d v="2019-01-30T00:00:00"/>
    <n v="9.3000000000000007"/>
    <x v="0"/>
    <n v="1"/>
    <x v="2"/>
    <n v="2019"/>
  </r>
  <r>
    <s v="Alex"/>
    <x v="0"/>
    <s v="Normal"/>
    <x v="1"/>
    <x v="3"/>
    <n v="44.65"/>
    <n v="3"/>
    <n v="6.6974999999999998"/>
    <x v="342"/>
    <d v="2019-02-14T00:00:00"/>
    <n v="6.2"/>
    <x v="1"/>
    <n v="2"/>
    <x v="0"/>
    <n v="2019"/>
  </r>
  <r>
    <s v="Alex"/>
    <x v="0"/>
    <s v="Normal"/>
    <x v="0"/>
    <x v="5"/>
    <n v="77.930000000000007"/>
    <n v="9"/>
    <n v="35.0685"/>
    <x v="343"/>
    <d v="2019-02-27T00:00:00"/>
    <n v="7.6"/>
    <x v="1"/>
    <n v="2"/>
    <x v="2"/>
    <n v="2019"/>
  </r>
  <r>
    <s v="Alex"/>
    <x v="0"/>
    <s v="Member"/>
    <x v="1"/>
    <x v="1"/>
    <n v="71.95"/>
    <n v="1"/>
    <n v="3.5975000000000001"/>
    <x v="344"/>
    <d v="2019-02-04T00:00:00"/>
    <n v="7.3"/>
    <x v="1"/>
    <n v="2"/>
    <x v="2"/>
    <n v="2019"/>
  </r>
  <r>
    <s v="Giza"/>
    <x v="1"/>
    <s v="Member"/>
    <x v="0"/>
    <x v="2"/>
    <n v="89.25"/>
    <n v="8"/>
    <n v="35.700000000000003"/>
    <x v="345"/>
    <d v="2019-01-20T00:00:00"/>
    <n v="4.7"/>
    <x v="2"/>
    <n v="1"/>
    <x v="2"/>
    <n v="2019"/>
  </r>
  <r>
    <s v="Alex"/>
    <x v="0"/>
    <s v="Normal"/>
    <x v="1"/>
    <x v="1"/>
    <n v="26.02"/>
    <n v="7"/>
    <n v="9.1069999999999993"/>
    <x v="346"/>
    <d v="2019-03-28T00:00:00"/>
    <n v="5.0999999999999996"/>
    <x v="1"/>
    <n v="3"/>
    <x v="0"/>
    <n v="2019"/>
  </r>
  <r>
    <s v="Cairo"/>
    <x v="2"/>
    <s v="Normal"/>
    <x v="0"/>
    <x v="0"/>
    <n v="13.5"/>
    <n v="10"/>
    <n v="6.75"/>
    <x v="347"/>
    <d v="2019-02-27T00:00:00"/>
    <n v="4.8"/>
    <x v="2"/>
    <n v="2"/>
    <x v="1"/>
    <n v="2019"/>
  </r>
  <r>
    <s v="Giza"/>
    <x v="1"/>
    <s v="Member"/>
    <x v="0"/>
    <x v="5"/>
    <n v="99.3"/>
    <n v="10"/>
    <n v="49.65"/>
    <x v="348"/>
    <d v="2019-02-15T00:00:00"/>
    <n v="6.6"/>
    <x v="1"/>
    <n v="2"/>
    <x v="2"/>
    <n v="2019"/>
  </r>
  <r>
    <s v="Alex"/>
    <x v="0"/>
    <s v="Normal"/>
    <x v="1"/>
    <x v="1"/>
    <n v="51.69"/>
    <n v="7"/>
    <n v="18.0915"/>
    <x v="349"/>
    <d v="2019-01-26T00:00:00"/>
    <n v="5.5"/>
    <x v="1"/>
    <n v="1"/>
    <x v="2"/>
    <n v="2019"/>
  </r>
  <r>
    <s v="Cairo"/>
    <x v="2"/>
    <s v="Member"/>
    <x v="0"/>
    <x v="5"/>
    <n v="54.73"/>
    <n v="7"/>
    <n v="19.1555"/>
    <x v="350"/>
    <d v="2019-03-14T00:00:00"/>
    <n v="8.5"/>
    <x v="0"/>
    <n v="3"/>
    <x v="0"/>
    <n v="2019"/>
  </r>
  <r>
    <s v="Cairo"/>
    <x v="2"/>
    <s v="Member"/>
    <x v="1"/>
    <x v="2"/>
    <n v="27"/>
    <n v="9"/>
    <n v="12.15"/>
    <x v="351"/>
    <d v="2019-03-02T00:00:00"/>
    <n v="4.8"/>
    <x v="2"/>
    <n v="3"/>
    <x v="1"/>
    <n v="2019"/>
  </r>
  <r>
    <s v="Giza"/>
    <x v="1"/>
    <s v="Normal"/>
    <x v="0"/>
    <x v="1"/>
    <n v="30.24"/>
    <n v="1"/>
    <n v="1.512"/>
    <x v="352"/>
    <d v="2019-03-04T00:00:00"/>
    <n v="8.4"/>
    <x v="0"/>
    <n v="3"/>
    <x v="1"/>
    <n v="2019"/>
  </r>
  <r>
    <s v="Cairo"/>
    <x v="2"/>
    <s v="Member"/>
    <x v="0"/>
    <x v="4"/>
    <n v="89.14"/>
    <n v="4"/>
    <n v="17.827999999999999"/>
    <x v="353"/>
    <d v="2019-01-07T00:00:00"/>
    <n v="7.8"/>
    <x v="1"/>
    <n v="1"/>
    <x v="1"/>
    <n v="2019"/>
  </r>
  <r>
    <s v="Giza"/>
    <x v="1"/>
    <s v="Normal"/>
    <x v="0"/>
    <x v="5"/>
    <n v="37.549999999999997"/>
    <n v="10"/>
    <n v="18.774999999999999"/>
    <x v="354"/>
    <d v="2019-03-08T00:00:00"/>
    <n v="9.3000000000000007"/>
    <x v="0"/>
    <n v="3"/>
    <x v="0"/>
    <n v="2019"/>
  </r>
  <r>
    <s v="Giza"/>
    <x v="1"/>
    <s v="Normal"/>
    <x v="0"/>
    <x v="3"/>
    <n v="95.44"/>
    <n v="10"/>
    <n v="47.72"/>
    <x v="355"/>
    <d v="2019-01-09T00:00:00"/>
    <n v="5.2"/>
    <x v="1"/>
    <n v="1"/>
    <x v="1"/>
    <n v="2019"/>
  </r>
  <r>
    <s v="Cairo"/>
    <x v="2"/>
    <s v="Normal"/>
    <x v="1"/>
    <x v="1"/>
    <n v="27.5"/>
    <n v="3"/>
    <n v="4.125"/>
    <x v="356"/>
    <d v="2019-03-01T00:00:00"/>
    <n v="6.5"/>
    <x v="1"/>
    <n v="3"/>
    <x v="0"/>
    <n v="2019"/>
  </r>
  <r>
    <s v="Cairo"/>
    <x v="2"/>
    <s v="Normal"/>
    <x v="1"/>
    <x v="3"/>
    <n v="74.97"/>
    <n v="1"/>
    <n v="3.7484999999999999"/>
    <x v="357"/>
    <d v="2019-03-16T00:00:00"/>
    <n v="5.6"/>
    <x v="1"/>
    <n v="3"/>
    <x v="1"/>
    <n v="2019"/>
  </r>
  <r>
    <s v="Alex"/>
    <x v="0"/>
    <s v="Member"/>
    <x v="1"/>
    <x v="4"/>
    <n v="80.959999999999994"/>
    <n v="8"/>
    <n v="32.384"/>
    <x v="358"/>
    <d v="2019-02-17T00:00:00"/>
    <n v="7.4"/>
    <x v="1"/>
    <n v="2"/>
    <x v="1"/>
    <n v="2019"/>
  </r>
  <r>
    <s v="Giza"/>
    <x v="1"/>
    <s v="Normal"/>
    <x v="0"/>
    <x v="4"/>
    <n v="94.47"/>
    <n v="8"/>
    <n v="37.787999999999997"/>
    <x v="359"/>
    <d v="2019-02-27T00:00:00"/>
    <n v="9.1"/>
    <x v="0"/>
    <n v="2"/>
    <x v="2"/>
    <n v="2019"/>
  </r>
  <r>
    <s v="Giza"/>
    <x v="1"/>
    <s v="Normal"/>
    <x v="1"/>
    <x v="4"/>
    <n v="99.79"/>
    <n v="2"/>
    <n v="9.9789999999999992"/>
    <x v="360"/>
    <d v="2019-03-07T00:00:00"/>
    <n v="8"/>
    <x v="1"/>
    <n v="3"/>
    <x v="2"/>
    <n v="2019"/>
  </r>
  <r>
    <s v="Alex"/>
    <x v="0"/>
    <s v="Normal"/>
    <x v="1"/>
    <x v="2"/>
    <n v="73.22"/>
    <n v="6"/>
    <n v="21.966000000000001"/>
    <x v="361"/>
    <d v="2019-01-21T00:00:00"/>
    <n v="7.2"/>
    <x v="1"/>
    <n v="1"/>
    <x v="1"/>
    <n v="2019"/>
  </r>
  <r>
    <s v="Giza"/>
    <x v="1"/>
    <s v="Normal"/>
    <x v="0"/>
    <x v="4"/>
    <n v="41.24"/>
    <n v="4"/>
    <n v="8.2479999999999993"/>
    <x v="362"/>
    <d v="2019-02-19T00:00:00"/>
    <n v="7.1"/>
    <x v="1"/>
    <n v="2"/>
    <x v="0"/>
    <n v="2019"/>
  </r>
  <r>
    <s v="Giza"/>
    <x v="1"/>
    <s v="Normal"/>
    <x v="0"/>
    <x v="5"/>
    <n v="81.680000000000007"/>
    <n v="4"/>
    <n v="16.335999999999999"/>
    <x v="363"/>
    <d v="2019-01-06T00:00:00"/>
    <n v="9.1"/>
    <x v="0"/>
    <n v="1"/>
    <x v="2"/>
    <n v="2019"/>
  </r>
  <r>
    <s v="Giza"/>
    <x v="1"/>
    <s v="Normal"/>
    <x v="0"/>
    <x v="1"/>
    <n v="51.32"/>
    <n v="9"/>
    <n v="23.094000000000001"/>
    <x v="364"/>
    <d v="2019-03-14T00:00:00"/>
    <n v="5.6"/>
    <x v="1"/>
    <n v="3"/>
    <x v="0"/>
    <n v="2019"/>
  </r>
  <r>
    <s v="Alex"/>
    <x v="0"/>
    <s v="Member"/>
    <x v="1"/>
    <x v="2"/>
    <n v="65.94"/>
    <n v="4"/>
    <n v="13.188000000000001"/>
    <x v="257"/>
    <d v="2019-03-24T00:00:00"/>
    <n v="6"/>
    <x v="1"/>
    <n v="3"/>
    <x v="1"/>
    <n v="2019"/>
  </r>
  <r>
    <s v="Giza"/>
    <x v="1"/>
    <s v="Normal"/>
    <x v="0"/>
    <x v="3"/>
    <n v="14.36"/>
    <n v="10"/>
    <n v="7.18"/>
    <x v="365"/>
    <d v="2019-01-27T00:00:00"/>
    <n v="5.4"/>
    <x v="1"/>
    <n v="1"/>
    <x v="1"/>
    <n v="2019"/>
  </r>
  <r>
    <s v="Alex"/>
    <x v="0"/>
    <s v="Member"/>
    <x v="1"/>
    <x v="1"/>
    <n v="21.5"/>
    <n v="9"/>
    <n v="9.6750000000000007"/>
    <x v="366"/>
    <d v="2019-03-06T00:00:00"/>
    <n v="7.8"/>
    <x v="1"/>
    <n v="3"/>
    <x v="0"/>
    <n v="2019"/>
  </r>
  <r>
    <s v="Cairo"/>
    <x v="2"/>
    <s v="Member"/>
    <x v="0"/>
    <x v="1"/>
    <n v="26.26"/>
    <n v="7"/>
    <n v="9.1910000000000007"/>
    <x v="367"/>
    <d v="2019-02-02T00:00:00"/>
    <n v="9.9"/>
    <x v="0"/>
    <n v="2"/>
    <x v="1"/>
    <n v="2019"/>
  </r>
  <r>
    <s v="Cairo"/>
    <x v="2"/>
    <s v="Normal"/>
    <x v="0"/>
    <x v="5"/>
    <n v="60.96"/>
    <n v="2"/>
    <n v="6.0960000000000001"/>
    <x v="368"/>
    <d v="2019-01-25T00:00:00"/>
    <n v="4.9000000000000004"/>
    <x v="2"/>
    <n v="1"/>
    <x v="2"/>
    <n v="2019"/>
  </r>
  <r>
    <s v="Giza"/>
    <x v="1"/>
    <s v="Normal"/>
    <x v="0"/>
    <x v="2"/>
    <n v="70.11"/>
    <n v="6"/>
    <n v="21.033000000000001"/>
    <x v="369"/>
    <d v="2019-03-14T00:00:00"/>
    <n v="5.2"/>
    <x v="1"/>
    <n v="3"/>
    <x v="0"/>
    <n v="2019"/>
  </r>
  <r>
    <s v="Giza"/>
    <x v="1"/>
    <s v="Normal"/>
    <x v="1"/>
    <x v="5"/>
    <n v="42.08"/>
    <n v="6"/>
    <n v="12.624000000000001"/>
    <x v="370"/>
    <d v="2019-01-29T00:00:00"/>
    <n v="8.9"/>
    <x v="0"/>
    <n v="1"/>
    <x v="1"/>
    <n v="2019"/>
  </r>
  <r>
    <s v="Alex"/>
    <x v="0"/>
    <s v="Normal"/>
    <x v="0"/>
    <x v="2"/>
    <n v="67.09"/>
    <n v="5"/>
    <n v="16.772500000000001"/>
    <x v="371"/>
    <d v="2019-01-03T00:00:00"/>
    <n v="9.1"/>
    <x v="0"/>
    <n v="1"/>
    <x v="0"/>
    <n v="2019"/>
  </r>
  <r>
    <s v="Alex"/>
    <x v="0"/>
    <s v="Member"/>
    <x v="0"/>
    <x v="5"/>
    <n v="96.7"/>
    <n v="5"/>
    <n v="24.175000000000001"/>
    <x v="372"/>
    <d v="2019-01-14T00:00:00"/>
    <n v="7"/>
    <x v="1"/>
    <n v="1"/>
    <x v="0"/>
    <n v="2019"/>
  </r>
  <r>
    <s v="Cairo"/>
    <x v="2"/>
    <s v="Member"/>
    <x v="0"/>
    <x v="2"/>
    <n v="35.380000000000003"/>
    <n v="9"/>
    <n v="15.920999999999999"/>
    <x v="373"/>
    <d v="2019-01-05T00:00:00"/>
    <n v="9.6"/>
    <x v="0"/>
    <n v="1"/>
    <x v="0"/>
    <n v="2019"/>
  </r>
  <r>
    <s v="Giza"/>
    <x v="1"/>
    <s v="Normal"/>
    <x v="1"/>
    <x v="3"/>
    <n v="95.49"/>
    <n v="7"/>
    <n v="33.421500000000002"/>
    <x v="374"/>
    <d v="2019-02-22T00:00:00"/>
    <n v="8.6999999999999993"/>
    <x v="0"/>
    <n v="2"/>
    <x v="0"/>
    <n v="2019"/>
  </r>
  <r>
    <s v="Giza"/>
    <x v="1"/>
    <s v="Member"/>
    <x v="1"/>
    <x v="5"/>
    <n v="96.98"/>
    <n v="4"/>
    <n v="19.396000000000001"/>
    <x v="375"/>
    <d v="2019-02-06T00:00:00"/>
    <n v="9.4"/>
    <x v="0"/>
    <n v="2"/>
    <x v="2"/>
    <n v="2019"/>
  </r>
  <r>
    <s v="Cairo"/>
    <x v="2"/>
    <s v="Normal"/>
    <x v="0"/>
    <x v="1"/>
    <n v="23.65"/>
    <n v="4"/>
    <n v="4.7300000000000004"/>
    <x v="376"/>
    <d v="2019-01-30T00:00:00"/>
    <n v="4"/>
    <x v="2"/>
    <n v="1"/>
    <x v="2"/>
    <n v="2019"/>
  </r>
  <r>
    <s v="Alex"/>
    <x v="0"/>
    <s v="Member"/>
    <x v="1"/>
    <x v="3"/>
    <n v="82.33"/>
    <n v="4"/>
    <n v="16.466000000000001"/>
    <x v="377"/>
    <d v="2019-01-11T00:00:00"/>
    <n v="7.5"/>
    <x v="1"/>
    <n v="1"/>
    <x v="0"/>
    <n v="2019"/>
  </r>
  <r>
    <s v="Giza"/>
    <x v="1"/>
    <s v="Normal"/>
    <x v="0"/>
    <x v="1"/>
    <n v="26.61"/>
    <n v="2"/>
    <n v="2.661"/>
    <x v="378"/>
    <d v="2019-03-19T00:00:00"/>
    <n v="4.2"/>
    <x v="2"/>
    <n v="3"/>
    <x v="0"/>
    <n v="2019"/>
  </r>
  <r>
    <s v="Cairo"/>
    <x v="2"/>
    <s v="Normal"/>
    <x v="0"/>
    <x v="4"/>
    <n v="99.69"/>
    <n v="5"/>
    <n v="24.922499999999999"/>
    <x v="379"/>
    <d v="2019-01-14T00:00:00"/>
    <n v="9.9"/>
    <x v="0"/>
    <n v="1"/>
    <x v="1"/>
    <n v="2019"/>
  </r>
  <r>
    <s v="Giza"/>
    <x v="1"/>
    <s v="Member"/>
    <x v="0"/>
    <x v="4"/>
    <n v="74.89"/>
    <n v="4"/>
    <n v="14.978"/>
    <x v="380"/>
    <d v="2019-03-01T00:00:00"/>
    <n v="4.2"/>
    <x v="2"/>
    <n v="3"/>
    <x v="0"/>
    <n v="2019"/>
  </r>
  <r>
    <s v="Alex"/>
    <x v="0"/>
    <s v="Normal"/>
    <x v="0"/>
    <x v="4"/>
    <n v="40.94"/>
    <n v="5"/>
    <n v="10.234999999999999"/>
    <x v="381"/>
    <d v="2019-01-06T00:00:00"/>
    <n v="9.9"/>
    <x v="0"/>
    <n v="1"/>
    <x v="1"/>
    <n v="2019"/>
  </r>
  <r>
    <s v="Cairo"/>
    <x v="2"/>
    <s v="Member"/>
    <x v="1"/>
    <x v="3"/>
    <n v="75.819999999999993"/>
    <n v="1"/>
    <n v="3.7909999999999999"/>
    <x v="382"/>
    <d v="2019-01-31T00:00:00"/>
    <n v="5.8"/>
    <x v="1"/>
    <n v="1"/>
    <x v="0"/>
    <n v="2019"/>
  </r>
  <r>
    <s v="Giza"/>
    <x v="1"/>
    <s v="Normal"/>
    <x v="1"/>
    <x v="4"/>
    <n v="46.77"/>
    <n v="6"/>
    <n v="14.031000000000001"/>
    <x v="383"/>
    <d v="2019-03-11T00:00:00"/>
    <n v="6"/>
    <x v="1"/>
    <n v="3"/>
    <x v="0"/>
    <n v="2019"/>
  </r>
  <r>
    <s v="Alex"/>
    <x v="0"/>
    <s v="Normal"/>
    <x v="0"/>
    <x v="0"/>
    <n v="32.32"/>
    <n v="10"/>
    <n v="16.16"/>
    <x v="384"/>
    <d v="2019-02-20T00:00:00"/>
    <n v="10"/>
    <x v="0"/>
    <n v="2"/>
    <x v="1"/>
    <n v="2019"/>
  </r>
  <r>
    <s v="Giza"/>
    <x v="1"/>
    <s v="Member"/>
    <x v="0"/>
    <x v="5"/>
    <n v="54.07"/>
    <n v="9"/>
    <n v="24.331499999999998"/>
    <x v="385"/>
    <d v="2019-01-27T00:00:00"/>
    <n v="9.5"/>
    <x v="0"/>
    <n v="1"/>
    <x v="2"/>
    <n v="2019"/>
  </r>
  <r>
    <s v="Cairo"/>
    <x v="2"/>
    <s v="Normal"/>
    <x v="1"/>
    <x v="4"/>
    <n v="18.22"/>
    <n v="7"/>
    <n v="6.3769999999999998"/>
    <x v="386"/>
    <d v="2019-03-10T00:00:00"/>
    <n v="6.6"/>
    <x v="1"/>
    <n v="3"/>
    <x v="0"/>
    <n v="2019"/>
  </r>
  <r>
    <s v="Giza"/>
    <x v="1"/>
    <s v="Member"/>
    <x v="0"/>
    <x v="5"/>
    <n v="80.48"/>
    <n v="3"/>
    <n v="12.071999999999999"/>
    <x v="387"/>
    <d v="2019-02-15T00:00:00"/>
    <n v="8.1"/>
    <x v="0"/>
    <n v="2"/>
    <x v="1"/>
    <n v="2019"/>
  </r>
  <r>
    <s v="Cairo"/>
    <x v="2"/>
    <s v="Normal"/>
    <x v="0"/>
    <x v="5"/>
    <n v="37.950000000000003"/>
    <n v="10"/>
    <n v="18.975000000000001"/>
    <x v="388"/>
    <d v="2019-01-26T00:00:00"/>
    <n v="9.6999999999999993"/>
    <x v="0"/>
    <n v="1"/>
    <x v="2"/>
    <n v="2019"/>
  </r>
  <r>
    <s v="Alex"/>
    <x v="0"/>
    <s v="Member"/>
    <x v="1"/>
    <x v="1"/>
    <n v="76.819999999999993"/>
    <n v="1"/>
    <n v="3.8410000000000002"/>
    <x v="389"/>
    <d v="2019-02-13T00:00:00"/>
    <n v="7.2"/>
    <x v="1"/>
    <n v="2"/>
    <x v="0"/>
    <n v="2019"/>
  </r>
  <r>
    <s v="Alex"/>
    <x v="0"/>
    <s v="Member"/>
    <x v="0"/>
    <x v="3"/>
    <n v="52.26"/>
    <n v="10"/>
    <n v="26.13"/>
    <x v="390"/>
    <d v="2019-03-09T00:00:00"/>
    <n v="6.2"/>
    <x v="1"/>
    <n v="3"/>
    <x v="2"/>
    <n v="2019"/>
  </r>
  <r>
    <s v="Alex"/>
    <x v="0"/>
    <s v="Normal"/>
    <x v="0"/>
    <x v="0"/>
    <n v="79.739999999999995"/>
    <n v="1"/>
    <n v="3.9870000000000001"/>
    <x v="391"/>
    <d v="2019-03-06T00:00:00"/>
    <n v="7.3"/>
    <x v="1"/>
    <n v="3"/>
    <x v="1"/>
    <n v="2019"/>
  </r>
  <r>
    <s v="Alex"/>
    <x v="0"/>
    <s v="Normal"/>
    <x v="0"/>
    <x v="0"/>
    <n v="77.5"/>
    <n v="5"/>
    <n v="19.375"/>
    <x v="392"/>
    <d v="2019-01-24T00:00:00"/>
    <n v="4.3"/>
    <x v="2"/>
    <n v="1"/>
    <x v="1"/>
    <n v="2019"/>
  </r>
  <r>
    <s v="Alex"/>
    <x v="0"/>
    <s v="Normal"/>
    <x v="0"/>
    <x v="4"/>
    <n v="54.27"/>
    <n v="5"/>
    <n v="13.567500000000001"/>
    <x v="393"/>
    <d v="2019-03-13T00:00:00"/>
    <n v="4.5999999999999996"/>
    <x v="2"/>
    <n v="3"/>
    <x v="0"/>
    <n v="2019"/>
  </r>
  <r>
    <s v="Cairo"/>
    <x v="2"/>
    <s v="Normal"/>
    <x v="1"/>
    <x v="2"/>
    <n v="13.59"/>
    <n v="9"/>
    <n v="6.1154999999999999"/>
    <x v="394"/>
    <d v="2019-03-15T00:00:00"/>
    <n v="5.8"/>
    <x v="1"/>
    <n v="3"/>
    <x v="1"/>
    <n v="2019"/>
  </r>
  <r>
    <s v="Cairo"/>
    <x v="2"/>
    <s v="Member"/>
    <x v="0"/>
    <x v="0"/>
    <n v="41.06"/>
    <n v="6"/>
    <n v="12.318"/>
    <x v="395"/>
    <d v="2019-03-05T00:00:00"/>
    <n v="8.3000000000000007"/>
    <x v="0"/>
    <n v="3"/>
    <x v="1"/>
    <n v="2019"/>
  </r>
  <r>
    <s v="Cairo"/>
    <x v="2"/>
    <s v="Member"/>
    <x v="1"/>
    <x v="1"/>
    <n v="19.239999999999998"/>
    <n v="9"/>
    <n v="8.6579999999999995"/>
    <x v="396"/>
    <d v="2019-03-04T00:00:00"/>
    <n v="8"/>
    <x v="1"/>
    <n v="3"/>
    <x v="1"/>
    <n v="2019"/>
  </r>
  <r>
    <s v="Giza"/>
    <x v="1"/>
    <s v="Normal"/>
    <x v="0"/>
    <x v="4"/>
    <n v="39.43"/>
    <n v="6"/>
    <n v="11.829000000000001"/>
    <x v="397"/>
    <d v="2019-03-25T00:00:00"/>
    <n v="9.4"/>
    <x v="0"/>
    <n v="3"/>
    <x v="1"/>
    <n v="2019"/>
  </r>
  <r>
    <s v="Giza"/>
    <x v="1"/>
    <s v="Normal"/>
    <x v="1"/>
    <x v="2"/>
    <n v="46.22"/>
    <n v="4"/>
    <n v="9.2439999999999998"/>
    <x v="398"/>
    <d v="2019-03-12T00:00:00"/>
    <n v="6.2"/>
    <x v="1"/>
    <n v="3"/>
    <x v="1"/>
    <n v="2019"/>
  </r>
  <r>
    <s v="Giza"/>
    <x v="1"/>
    <s v="Member"/>
    <x v="1"/>
    <x v="2"/>
    <n v="13.98"/>
    <n v="1"/>
    <n v="0.69899999999999995"/>
    <x v="399"/>
    <d v="2019-02-04T00:00:00"/>
    <n v="9.8000000000000007"/>
    <x v="0"/>
    <n v="2"/>
    <x v="1"/>
    <n v="2019"/>
  </r>
  <r>
    <s v="Cairo"/>
    <x v="2"/>
    <s v="Normal"/>
    <x v="0"/>
    <x v="5"/>
    <n v="39.75"/>
    <n v="5"/>
    <n v="9.9375"/>
    <x v="400"/>
    <d v="2019-02-22T00:00:00"/>
    <n v="9.6"/>
    <x v="0"/>
    <n v="2"/>
    <x v="2"/>
    <n v="2019"/>
  </r>
  <r>
    <s v="Giza"/>
    <x v="1"/>
    <s v="Member"/>
    <x v="0"/>
    <x v="5"/>
    <n v="97.79"/>
    <n v="7"/>
    <n v="34.226500000000001"/>
    <x v="401"/>
    <d v="2019-02-16T00:00:00"/>
    <n v="4.9000000000000004"/>
    <x v="2"/>
    <n v="2"/>
    <x v="2"/>
    <n v="2019"/>
  </r>
  <r>
    <s v="Alex"/>
    <x v="0"/>
    <s v="Member"/>
    <x v="1"/>
    <x v="3"/>
    <n v="67.260000000000005"/>
    <n v="4"/>
    <n v="13.452"/>
    <x v="402"/>
    <d v="2019-01-19T00:00:00"/>
    <n v="8"/>
    <x v="1"/>
    <n v="1"/>
    <x v="2"/>
    <n v="2019"/>
  </r>
  <r>
    <s v="Alex"/>
    <x v="0"/>
    <s v="Normal"/>
    <x v="1"/>
    <x v="4"/>
    <n v="13.79"/>
    <n v="5"/>
    <n v="3.4474999999999998"/>
    <x v="403"/>
    <d v="2019-01-11T00:00:00"/>
    <n v="7.8"/>
    <x v="1"/>
    <n v="1"/>
    <x v="0"/>
    <n v="2019"/>
  </r>
  <r>
    <s v="Cairo"/>
    <x v="2"/>
    <s v="Member"/>
    <x v="0"/>
    <x v="5"/>
    <n v="68.709999999999994"/>
    <n v="4"/>
    <n v="13.742000000000001"/>
    <x v="404"/>
    <d v="2019-01-04T00:00:00"/>
    <n v="4.0999999999999996"/>
    <x v="2"/>
    <n v="1"/>
    <x v="0"/>
    <n v="2019"/>
  </r>
  <r>
    <s v="Alex"/>
    <x v="0"/>
    <s v="Normal"/>
    <x v="0"/>
    <x v="2"/>
    <n v="56.53"/>
    <n v="4"/>
    <n v="11.305999999999999"/>
    <x v="405"/>
    <d v="2019-03-04T00:00:00"/>
    <n v="5.5"/>
    <x v="1"/>
    <n v="3"/>
    <x v="0"/>
    <n v="2019"/>
  </r>
  <r>
    <s v="Giza"/>
    <x v="1"/>
    <s v="Normal"/>
    <x v="0"/>
    <x v="5"/>
    <n v="23.82"/>
    <n v="5"/>
    <n v="5.9550000000000001"/>
    <x v="406"/>
    <d v="2019-01-28T00:00:00"/>
    <n v="5.4"/>
    <x v="1"/>
    <n v="1"/>
    <x v="1"/>
    <n v="2019"/>
  </r>
  <r>
    <s v="Cairo"/>
    <x v="2"/>
    <s v="Normal"/>
    <x v="0"/>
    <x v="0"/>
    <n v="34.21"/>
    <n v="10"/>
    <n v="17.105"/>
    <x v="407"/>
    <d v="2019-01-02T00:00:00"/>
    <n v="5.0999999999999996"/>
    <x v="1"/>
    <n v="1"/>
    <x v="0"/>
    <n v="2019"/>
  </r>
  <r>
    <s v="Cairo"/>
    <x v="2"/>
    <s v="Normal"/>
    <x v="1"/>
    <x v="3"/>
    <n v="21.87"/>
    <n v="2"/>
    <n v="2.1869999999999998"/>
    <x v="408"/>
    <d v="2019-01-25T00:00:00"/>
    <n v="6.9"/>
    <x v="1"/>
    <n v="1"/>
    <x v="0"/>
    <n v="2019"/>
  </r>
  <r>
    <s v="Alex"/>
    <x v="0"/>
    <s v="Member"/>
    <x v="1"/>
    <x v="0"/>
    <n v="20.97"/>
    <n v="5"/>
    <n v="5.2424999999999997"/>
    <x v="409"/>
    <d v="2019-01-04T00:00:00"/>
    <n v="7.8"/>
    <x v="1"/>
    <n v="1"/>
    <x v="0"/>
    <n v="2019"/>
  </r>
  <r>
    <s v="Alex"/>
    <x v="0"/>
    <s v="Normal"/>
    <x v="1"/>
    <x v="3"/>
    <n v="25.84"/>
    <n v="3"/>
    <n v="3.8759999999999999"/>
    <x v="410"/>
    <d v="2019-03-10T00:00:00"/>
    <n v="6.6"/>
    <x v="1"/>
    <n v="3"/>
    <x v="0"/>
    <n v="2019"/>
  </r>
  <r>
    <s v="Alex"/>
    <x v="0"/>
    <s v="Normal"/>
    <x v="1"/>
    <x v="2"/>
    <n v="50.93"/>
    <n v="8"/>
    <n v="20.372"/>
    <x v="411"/>
    <d v="2019-03-22T00:00:00"/>
    <n v="9.1999999999999993"/>
    <x v="0"/>
    <n v="3"/>
    <x v="1"/>
    <n v="2019"/>
  </r>
  <r>
    <s v="Cairo"/>
    <x v="2"/>
    <s v="Normal"/>
    <x v="1"/>
    <x v="0"/>
    <n v="96.11"/>
    <n v="1"/>
    <n v="4.8055000000000003"/>
    <x v="412"/>
    <d v="2019-01-25T00:00:00"/>
    <n v="7.8"/>
    <x v="1"/>
    <n v="1"/>
    <x v="1"/>
    <n v="2019"/>
  </r>
  <r>
    <s v="Giza"/>
    <x v="1"/>
    <s v="Normal"/>
    <x v="0"/>
    <x v="2"/>
    <n v="45.38"/>
    <n v="4"/>
    <n v="9.0760000000000005"/>
    <x v="413"/>
    <d v="2019-01-08T00:00:00"/>
    <n v="8.6999999999999993"/>
    <x v="0"/>
    <n v="1"/>
    <x v="0"/>
    <n v="2019"/>
  </r>
  <r>
    <s v="Giza"/>
    <x v="1"/>
    <s v="Member"/>
    <x v="0"/>
    <x v="0"/>
    <n v="81.510000000000005"/>
    <n v="1"/>
    <n v="4.0754999999999999"/>
    <x v="414"/>
    <d v="2019-01-22T00:00:00"/>
    <n v="9.1999999999999993"/>
    <x v="0"/>
    <n v="1"/>
    <x v="0"/>
    <n v="2019"/>
  </r>
  <r>
    <s v="Cairo"/>
    <x v="2"/>
    <s v="Normal"/>
    <x v="0"/>
    <x v="0"/>
    <n v="57.22"/>
    <n v="2"/>
    <n v="5.7220000000000004"/>
    <x v="415"/>
    <d v="2019-01-12T00:00:00"/>
    <n v="8.3000000000000007"/>
    <x v="0"/>
    <n v="1"/>
    <x v="0"/>
    <n v="2019"/>
  </r>
  <r>
    <s v="Alex"/>
    <x v="0"/>
    <s v="Member"/>
    <x v="0"/>
    <x v="1"/>
    <n v="25.22"/>
    <n v="7"/>
    <n v="8.827"/>
    <x v="416"/>
    <d v="2019-02-04T00:00:00"/>
    <n v="8.1999999999999993"/>
    <x v="0"/>
    <n v="2"/>
    <x v="0"/>
    <n v="2019"/>
  </r>
  <r>
    <s v="Giza"/>
    <x v="1"/>
    <s v="Member"/>
    <x v="0"/>
    <x v="4"/>
    <n v="38.6"/>
    <n v="3"/>
    <n v="5.79"/>
    <x v="417"/>
    <d v="2019-03-28T00:00:00"/>
    <n v="7.5"/>
    <x v="1"/>
    <n v="3"/>
    <x v="2"/>
    <n v="2019"/>
  </r>
  <r>
    <s v="Giza"/>
    <x v="1"/>
    <s v="Normal"/>
    <x v="0"/>
    <x v="1"/>
    <n v="84.05"/>
    <n v="3"/>
    <n v="12.6075"/>
    <x v="418"/>
    <d v="2019-01-23T00:00:00"/>
    <n v="9.8000000000000007"/>
    <x v="0"/>
    <n v="1"/>
    <x v="1"/>
    <n v="2019"/>
  </r>
  <r>
    <s v="Giza"/>
    <x v="1"/>
    <s v="Member"/>
    <x v="0"/>
    <x v="5"/>
    <n v="97.21"/>
    <n v="10"/>
    <n v="48.604999999999997"/>
    <x v="419"/>
    <d v="2019-02-08T00:00:00"/>
    <n v="8.6999999999999993"/>
    <x v="0"/>
    <n v="2"/>
    <x v="0"/>
    <n v="2019"/>
  </r>
  <r>
    <s v="Cairo"/>
    <x v="2"/>
    <s v="Member"/>
    <x v="1"/>
    <x v="5"/>
    <n v="25.42"/>
    <n v="8"/>
    <n v="10.167999999999999"/>
    <x v="420"/>
    <d v="2019-03-19T00:00:00"/>
    <n v="6.7"/>
    <x v="1"/>
    <n v="3"/>
    <x v="2"/>
    <n v="2019"/>
  </r>
  <r>
    <s v="Giza"/>
    <x v="1"/>
    <s v="Normal"/>
    <x v="1"/>
    <x v="5"/>
    <n v="16.28"/>
    <n v="1"/>
    <n v="0.81399999999999995"/>
    <x v="421"/>
    <d v="2019-03-09T00:00:00"/>
    <n v="5"/>
    <x v="1"/>
    <n v="3"/>
    <x v="1"/>
    <n v="2019"/>
  </r>
  <r>
    <s v="Cairo"/>
    <x v="2"/>
    <s v="Member"/>
    <x v="1"/>
    <x v="5"/>
    <n v="40.61"/>
    <n v="9"/>
    <n v="18.2745"/>
    <x v="422"/>
    <d v="2019-01-02T00:00:00"/>
    <n v="7"/>
    <x v="1"/>
    <n v="1"/>
    <x v="1"/>
    <n v="2019"/>
  </r>
  <r>
    <s v="Alex"/>
    <x v="0"/>
    <s v="Member"/>
    <x v="1"/>
    <x v="0"/>
    <n v="53.17"/>
    <n v="7"/>
    <n v="18.609500000000001"/>
    <x v="423"/>
    <d v="2019-01-21T00:00:00"/>
    <n v="8.9"/>
    <x v="0"/>
    <n v="1"/>
    <x v="0"/>
    <n v="2019"/>
  </r>
  <r>
    <s v="Cairo"/>
    <x v="2"/>
    <s v="Member"/>
    <x v="0"/>
    <x v="4"/>
    <n v="20.87"/>
    <n v="3"/>
    <n v="3.1305000000000001"/>
    <x v="424"/>
    <d v="2019-03-20T00:00:00"/>
    <n v="8"/>
    <x v="1"/>
    <n v="3"/>
    <x v="0"/>
    <n v="2019"/>
  </r>
  <r>
    <s v="Cairo"/>
    <x v="2"/>
    <s v="Normal"/>
    <x v="1"/>
    <x v="3"/>
    <n v="67.27"/>
    <n v="5"/>
    <n v="16.817499999999999"/>
    <x v="425"/>
    <d v="2019-02-27T00:00:00"/>
    <n v="6.9"/>
    <x v="1"/>
    <n v="2"/>
    <x v="1"/>
    <n v="2019"/>
  </r>
  <r>
    <s v="Alex"/>
    <x v="0"/>
    <s v="Member"/>
    <x v="0"/>
    <x v="2"/>
    <n v="90.65"/>
    <n v="10"/>
    <n v="45.325000000000003"/>
    <x v="426"/>
    <d v="2019-03-08T00:00:00"/>
    <n v="7.3"/>
    <x v="1"/>
    <n v="3"/>
    <x v="2"/>
    <n v="2019"/>
  </r>
  <r>
    <s v="Cairo"/>
    <x v="2"/>
    <s v="Normal"/>
    <x v="1"/>
    <x v="5"/>
    <n v="69.08"/>
    <n v="2"/>
    <n v="6.9080000000000004"/>
    <x v="427"/>
    <d v="2019-01-31T00:00:00"/>
    <n v="6.9"/>
    <x v="1"/>
    <n v="1"/>
    <x v="1"/>
    <n v="2019"/>
  </r>
  <r>
    <s v="Giza"/>
    <x v="1"/>
    <s v="Normal"/>
    <x v="1"/>
    <x v="4"/>
    <n v="43.27"/>
    <n v="2"/>
    <n v="4.327"/>
    <x v="428"/>
    <d v="2019-03-08T00:00:00"/>
    <n v="5.7"/>
    <x v="1"/>
    <n v="3"/>
    <x v="0"/>
    <n v="2019"/>
  </r>
  <r>
    <s v="Alex"/>
    <x v="0"/>
    <s v="Normal"/>
    <x v="0"/>
    <x v="1"/>
    <n v="23.46"/>
    <n v="6"/>
    <n v="7.0380000000000003"/>
    <x v="429"/>
    <d v="2019-01-13T00:00:00"/>
    <n v="6.4"/>
    <x v="1"/>
    <n v="1"/>
    <x v="1"/>
    <n v="2019"/>
  </r>
  <r>
    <s v="Cairo"/>
    <x v="2"/>
    <s v="Normal"/>
    <x v="1"/>
    <x v="5"/>
    <n v="95.54"/>
    <n v="7"/>
    <n v="33.439"/>
    <x v="430"/>
    <d v="2019-03-09T00:00:00"/>
    <n v="9.6"/>
    <x v="0"/>
    <n v="3"/>
    <x v="0"/>
    <n v="2019"/>
  </r>
  <r>
    <s v="Cairo"/>
    <x v="2"/>
    <s v="Normal"/>
    <x v="0"/>
    <x v="5"/>
    <n v="47.44"/>
    <n v="1"/>
    <n v="2.3719999999999999"/>
    <x v="431"/>
    <d v="2019-02-22T00:00:00"/>
    <n v="6.8"/>
    <x v="1"/>
    <n v="2"/>
    <x v="1"/>
    <n v="2019"/>
  </r>
  <r>
    <s v="Giza"/>
    <x v="1"/>
    <s v="Normal"/>
    <x v="1"/>
    <x v="3"/>
    <n v="99.24"/>
    <n v="9"/>
    <n v="44.658000000000001"/>
    <x v="432"/>
    <d v="2019-03-19T00:00:00"/>
    <n v="9"/>
    <x v="0"/>
    <n v="3"/>
    <x v="2"/>
    <n v="2019"/>
  </r>
  <r>
    <s v="Giza"/>
    <x v="1"/>
    <s v="Member"/>
    <x v="1"/>
    <x v="3"/>
    <n v="82.93"/>
    <n v="4"/>
    <n v="16.585999999999999"/>
    <x v="433"/>
    <d v="2019-01-20T00:00:00"/>
    <n v="9.6"/>
    <x v="0"/>
    <n v="1"/>
    <x v="1"/>
    <n v="2019"/>
  </r>
  <r>
    <s v="Alex"/>
    <x v="0"/>
    <s v="Normal"/>
    <x v="1"/>
    <x v="2"/>
    <n v="33.99"/>
    <n v="6"/>
    <n v="10.196999999999999"/>
    <x v="434"/>
    <d v="2019-03-08T00:00:00"/>
    <n v="7.7"/>
    <x v="1"/>
    <n v="3"/>
    <x v="0"/>
    <n v="2019"/>
  </r>
  <r>
    <s v="Giza"/>
    <x v="1"/>
    <s v="Member"/>
    <x v="1"/>
    <x v="4"/>
    <n v="17.04"/>
    <n v="4"/>
    <n v="3.4079999999999999"/>
    <x v="435"/>
    <d v="2019-03-08T00:00:00"/>
    <n v="7"/>
    <x v="1"/>
    <n v="3"/>
    <x v="1"/>
    <n v="2019"/>
  </r>
  <r>
    <s v="Giza"/>
    <x v="1"/>
    <s v="Normal"/>
    <x v="0"/>
    <x v="1"/>
    <n v="40.86"/>
    <n v="8"/>
    <n v="16.344000000000001"/>
    <x v="436"/>
    <d v="2019-02-07T00:00:00"/>
    <n v="6.5"/>
    <x v="1"/>
    <n v="2"/>
    <x v="1"/>
    <n v="2019"/>
  </r>
  <r>
    <s v="Giza"/>
    <x v="1"/>
    <s v="Member"/>
    <x v="1"/>
    <x v="4"/>
    <n v="17.440000000000001"/>
    <n v="5"/>
    <n v="4.3600000000000003"/>
    <x v="437"/>
    <d v="2019-01-15T00:00:00"/>
    <n v="8.1"/>
    <x v="0"/>
    <n v="1"/>
    <x v="2"/>
    <n v="2019"/>
  </r>
  <r>
    <s v="Cairo"/>
    <x v="2"/>
    <s v="Member"/>
    <x v="0"/>
    <x v="3"/>
    <n v="88.43"/>
    <n v="8"/>
    <n v="35.372"/>
    <x v="438"/>
    <d v="2019-03-22T00:00:00"/>
    <n v="4.3"/>
    <x v="2"/>
    <n v="3"/>
    <x v="0"/>
    <n v="2019"/>
  </r>
  <r>
    <s v="Alex"/>
    <x v="0"/>
    <s v="Member"/>
    <x v="0"/>
    <x v="2"/>
    <n v="89.21"/>
    <n v="9"/>
    <n v="40.144500000000001"/>
    <x v="439"/>
    <d v="2019-01-15T00:00:00"/>
    <n v="6.5"/>
    <x v="1"/>
    <n v="1"/>
    <x v="1"/>
    <n v="2019"/>
  </r>
  <r>
    <s v="Giza"/>
    <x v="1"/>
    <s v="Normal"/>
    <x v="1"/>
    <x v="5"/>
    <n v="12.78"/>
    <n v="1"/>
    <n v="0.63900000000000001"/>
    <x v="440"/>
    <d v="2019-01-08T00:00:00"/>
    <n v="9.5"/>
    <x v="0"/>
    <n v="1"/>
    <x v="0"/>
    <n v="2019"/>
  </r>
  <r>
    <s v="Alex"/>
    <x v="0"/>
    <s v="Normal"/>
    <x v="0"/>
    <x v="3"/>
    <n v="19.100000000000001"/>
    <n v="7"/>
    <n v="6.6849999999999996"/>
    <x v="441"/>
    <d v="2019-01-15T00:00:00"/>
    <n v="9.6999999999999993"/>
    <x v="0"/>
    <n v="1"/>
    <x v="0"/>
    <n v="2019"/>
  </r>
  <r>
    <s v="Cairo"/>
    <x v="2"/>
    <s v="Member"/>
    <x v="0"/>
    <x v="0"/>
    <n v="19.149999999999999"/>
    <n v="1"/>
    <n v="0.95750000000000002"/>
    <x v="442"/>
    <d v="2019-01-28T00:00:00"/>
    <n v="9.5"/>
    <x v="0"/>
    <n v="1"/>
    <x v="0"/>
    <n v="2019"/>
  </r>
  <r>
    <s v="Giza"/>
    <x v="1"/>
    <s v="Member"/>
    <x v="1"/>
    <x v="4"/>
    <n v="27.66"/>
    <n v="10"/>
    <n v="13.83"/>
    <x v="443"/>
    <d v="2019-02-14T00:00:00"/>
    <n v="8.9"/>
    <x v="0"/>
    <n v="2"/>
    <x v="0"/>
    <n v="2019"/>
  </r>
  <r>
    <s v="Giza"/>
    <x v="1"/>
    <s v="Normal"/>
    <x v="1"/>
    <x v="5"/>
    <n v="45.74"/>
    <n v="3"/>
    <n v="6.8609999999999998"/>
    <x v="444"/>
    <d v="2019-03-10T00:00:00"/>
    <n v="6.5"/>
    <x v="1"/>
    <n v="3"/>
    <x v="2"/>
    <n v="2019"/>
  </r>
  <r>
    <s v="Cairo"/>
    <x v="2"/>
    <s v="Member"/>
    <x v="0"/>
    <x v="0"/>
    <n v="27.07"/>
    <n v="1"/>
    <n v="1.3534999999999999"/>
    <x v="445"/>
    <d v="2019-01-12T00:00:00"/>
    <n v="5.3"/>
    <x v="1"/>
    <n v="1"/>
    <x v="1"/>
    <n v="2019"/>
  </r>
  <r>
    <s v="Cairo"/>
    <x v="2"/>
    <s v="Member"/>
    <x v="0"/>
    <x v="3"/>
    <n v="39.119999999999997"/>
    <n v="1"/>
    <n v="1.956"/>
    <x v="446"/>
    <d v="2019-03-26T00:00:00"/>
    <n v="9.6"/>
    <x v="0"/>
    <n v="3"/>
    <x v="0"/>
    <n v="2019"/>
  </r>
  <r>
    <s v="Cairo"/>
    <x v="2"/>
    <s v="Normal"/>
    <x v="0"/>
    <x v="1"/>
    <n v="74.709999999999994"/>
    <n v="6"/>
    <n v="22.413"/>
    <x v="447"/>
    <d v="2019-01-01T00:00:00"/>
    <n v="6.7"/>
    <x v="1"/>
    <n v="1"/>
    <x v="1"/>
    <n v="2019"/>
  </r>
  <r>
    <s v="Cairo"/>
    <x v="2"/>
    <s v="Normal"/>
    <x v="1"/>
    <x v="1"/>
    <n v="22.01"/>
    <n v="6"/>
    <n v="6.6029999999999998"/>
    <x v="448"/>
    <d v="2019-01-02T00:00:00"/>
    <n v="7.6"/>
    <x v="1"/>
    <n v="1"/>
    <x v="0"/>
    <n v="2019"/>
  </r>
  <r>
    <s v="Alex"/>
    <x v="0"/>
    <s v="Normal"/>
    <x v="0"/>
    <x v="4"/>
    <n v="63.61"/>
    <n v="5"/>
    <n v="15.9025"/>
    <x v="449"/>
    <d v="2019-03-16T00:00:00"/>
    <n v="4.8"/>
    <x v="2"/>
    <n v="3"/>
    <x v="0"/>
    <n v="2019"/>
  </r>
  <r>
    <s v="Alex"/>
    <x v="0"/>
    <s v="Normal"/>
    <x v="1"/>
    <x v="0"/>
    <n v="25"/>
    <n v="1"/>
    <n v="1.25"/>
    <x v="450"/>
    <d v="2019-03-03T00:00:00"/>
    <n v="5.5"/>
    <x v="1"/>
    <n v="3"/>
    <x v="1"/>
    <n v="2019"/>
  </r>
  <r>
    <s v="Alex"/>
    <x v="0"/>
    <s v="Member"/>
    <x v="1"/>
    <x v="1"/>
    <n v="20.77"/>
    <n v="4"/>
    <n v="4.1539999999999999"/>
    <x v="451"/>
    <d v="2019-01-31T00:00:00"/>
    <n v="4.7"/>
    <x v="2"/>
    <n v="1"/>
    <x v="1"/>
    <n v="2019"/>
  </r>
  <r>
    <s v="Cairo"/>
    <x v="2"/>
    <s v="Member"/>
    <x v="0"/>
    <x v="5"/>
    <n v="29.56"/>
    <n v="5"/>
    <n v="7.39"/>
    <x v="452"/>
    <d v="2019-02-13T00:00:00"/>
    <n v="6.9"/>
    <x v="1"/>
    <n v="2"/>
    <x v="0"/>
    <n v="2019"/>
  </r>
  <r>
    <s v="Cairo"/>
    <x v="2"/>
    <s v="Member"/>
    <x v="0"/>
    <x v="4"/>
    <n v="77.400000000000006"/>
    <n v="9"/>
    <n v="34.83"/>
    <x v="453"/>
    <d v="2019-02-15T00:00:00"/>
    <n v="4.5"/>
    <x v="2"/>
    <n v="2"/>
    <x v="2"/>
    <n v="2019"/>
  </r>
  <r>
    <s v="Cairo"/>
    <x v="2"/>
    <s v="Normal"/>
    <x v="1"/>
    <x v="1"/>
    <n v="79.39"/>
    <n v="10"/>
    <n v="39.695"/>
    <x v="454"/>
    <d v="2019-02-07T00:00:00"/>
    <n v="6.2"/>
    <x v="1"/>
    <n v="2"/>
    <x v="2"/>
    <n v="2019"/>
  </r>
  <r>
    <s v="Giza"/>
    <x v="1"/>
    <s v="Member"/>
    <x v="0"/>
    <x v="1"/>
    <n v="46.57"/>
    <n v="10"/>
    <n v="23.285"/>
    <x v="455"/>
    <d v="2019-01-27T00:00:00"/>
    <n v="7.6"/>
    <x v="1"/>
    <n v="1"/>
    <x v="2"/>
    <n v="2019"/>
  </r>
  <r>
    <s v="Giza"/>
    <x v="1"/>
    <s v="Normal"/>
    <x v="1"/>
    <x v="4"/>
    <n v="35.89"/>
    <n v="1"/>
    <n v="1.7945"/>
    <x v="456"/>
    <d v="2019-02-23T00:00:00"/>
    <n v="7.9"/>
    <x v="1"/>
    <n v="2"/>
    <x v="0"/>
    <n v="2019"/>
  </r>
  <r>
    <s v="Giza"/>
    <x v="1"/>
    <s v="Normal"/>
    <x v="1"/>
    <x v="4"/>
    <n v="40.520000000000003"/>
    <n v="5"/>
    <n v="10.130000000000001"/>
    <x v="457"/>
    <d v="2019-02-03T00:00:00"/>
    <n v="4.5"/>
    <x v="2"/>
    <n v="2"/>
    <x v="2"/>
    <n v="2019"/>
  </r>
  <r>
    <s v="Cairo"/>
    <x v="2"/>
    <s v="Member"/>
    <x v="0"/>
    <x v="4"/>
    <n v="73.05"/>
    <n v="10"/>
    <n v="36.524999999999999"/>
    <x v="458"/>
    <d v="2019-03-03T00:00:00"/>
    <n v="8.6999999999999993"/>
    <x v="0"/>
    <n v="3"/>
    <x v="2"/>
    <n v="2019"/>
  </r>
  <r>
    <s v="Giza"/>
    <x v="1"/>
    <s v="Normal"/>
    <x v="0"/>
    <x v="3"/>
    <n v="73.95"/>
    <n v="4"/>
    <n v="14.79"/>
    <x v="459"/>
    <d v="2019-02-03T00:00:00"/>
    <n v="6.1"/>
    <x v="1"/>
    <n v="2"/>
    <x v="1"/>
    <n v="2019"/>
  </r>
  <r>
    <s v="Giza"/>
    <x v="1"/>
    <s v="Member"/>
    <x v="0"/>
    <x v="4"/>
    <n v="22.62"/>
    <n v="1"/>
    <n v="1.131"/>
    <x v="460"/>
    <d v="2019-03-17T00:00:00"/>
    <n v="6.4"/>
    <x v="1"/>
    <n v="3"/>
    <x v="2"/>
    <n v="2019"/>
  </r>
  <r>
    <s v="Alex"/>
    <x v="0"/>
    <s v="Member"/>
    <x v="1"/>
    <x v="4"/>
    <n v="51.34"/>
    <n v="5"/>
    <n v="12.835000000000001"/>
    <x v="461"/>
    <d v="2019-03-28T00:00:00"/>
    <n v="9.1"/>
    <x v="0"/>
    <n v="3"/>
    <x v="1"/>
    <n v="2019"/>
  </r>
  <r>
    <s v="Giza"/>
    <x v="1"/>
    <s v="Member"/>
    <x v="0"/>
    <x v="3"/>
    <n v="54.55"/>
    <n v="10"/>
    <n v="27.274999999999999"/>
    <x v="462"/>
    <d v="2019-03-02T00:00:00"/>
    <n v="7.1"/>
    <x v="1"/>
    <n v="3"/>
    <x v="1"/>
    <n v="2019"/>
  </r>
  <r>
    <s v="Giza"/>
    <x v="1"/>
    <s v="Member"/>
    <x v="0"/>
    <x v="0"/>
    <n v="37.15"/>
    <n v="7"/>
    <n v="13.0025"/>
    <x v="463"/>
    <d v="2019-02-08T00:00:00"/>
    <n v="7.7"/>
    <x v="1"/>
    <n v="2"/>
    <x v="1"/>
    <n v="2019"/>
  </r>
  <r>
    <s v="Cairo"/>
    <x v="2"/>
    <s v="Normal"/>
    <x v="1"/>
    <x v="3"/>
    <n v="37.020000000000003"/>
    <n v="6"/>
    <n v="11.106"/>
    <x v="464"/>
    <d v="2019-03-22T00:00:00"/>
    <n v="4.5"/>
    <x v="2"/>
    <n v="3"/>
    <x v="2"/>
    <n v="2019"/>
  </r>
  <r>
    <s v="Giza"/>
    <x v="1"/>
    <s v="Normal"/>
    <x v="1"/>
    <x v="4"/>
    <n v="21.58"/>
    <n v="1"/>
    <n v="1.079"/>
    <x v="465"/>
    <d v="2019-02-09T00:00:00"/>
    <n v="7.2"/>
    <x v="1"/>
    <n v="2"/>
    <x v="1"/>
    <n v="2019"/>
  </r>
  <r>
    <s v="Giza"/>
    <x v="1"/>
    <s v="Member"/>
    <x v="0"/>
    <x v="1"/>
    <n v="98.84"/>
    <n v="1"/>
    <n v="4.9420000000000002"/>
    <x v="466"/>
    <d v="2019-02-15T00:00:00"/>
    <n v="8.4"/>
    <x v="0"/>
    <n v="2"/>
    <x v="2"/>
    <n v="2019"/>
  </r>
  <r>
    <s v="Giza"/>
    <x v="1"/>
    <s v="Member"/>
    <x v="0"/>
    <x v="2"/>
    <n v="83.77"/>
    <n v="6"/>
    <n v="25.131"/>
    <x v="467"/>
    <d v="2019-01-23T00:00:00"/>
    <n v="5.4"/>
    <x v="1"/>
    <n v="1"/>
    <x v="2"/>
    <n v="2019"/>
  </r>
  <r>
    <s v="Alex"/>
    <x v="0"/>
    <s v="Member"/>
    <x v="0"/>
    <x v="3"/>
    <n v="40.049999999999997"/>
    <n v="4"/>
    <n v="8.01"/>
    <x v="468"/>
    <d v="2019-01-25T00:00:00"/>
    <n v="9.6999999999999993"/>
    <x v="0"/>
    <n v="1"/>
    <x v="0"/>
    <n v="2019"/>
  </r>
  <r>
    <s v="Alex"/>
    <x v="0"/>
    <s v="Member"/>
    <x v="1"/>
    <x v="5"/>
    <n v="43.13"/>
    <n v="10"/>
    <n v="21.565000000000001"/>
    <x v="469"/>
    <d v="2019-02-02T00:00:00"/>
    <n v="5.5"/>
    <x v="1"/>
    <n v="2"/>
    <x v="0"/>
    <n v="2019"/>
  </r>
  <r>
    <s v="Cairo"/>
    <x v="2"/>
    <s v="Member"/>
    <x v="1"/>
    <x v="0"/>
    <n v="72.569999999999993"/>
    <n v="8"/>
    <n v="29.027999999999999"/>
    <x v="470"/>
    <d v="2019-03-30T00:00:00"/>
    <n v="4.5999999999999996"/>
    <x v="2"/>
    <n v="3"/>
    <x v="2"/>
    <n v="2019"/>
  </r>
  <r>
    <s v="Alex"/>
    <x v="0"/>
    <s v="Member"/>
    <x v="0"/>
    <x v="1"/>
    <n v="64.44"/>
    <n v="5"/>
    <n v="16.11"/>
    <x v="471"/>
    <d v="2019-03-30T00:00:00"/>
    <n v="6.6"/>
    <x v="1"/>
    <n v="3"/>
    <x v="1"/>
    <n v="2019"/>
  </r>
  <r>
    <s v="Alex"/>
    <x v="0"/>
    <s v="Normal"/>
    <x v="1"/>
    <x v="0"/>
    <n v="65.180000000000007"/>
    <n v="3"/>
    <n v="9.7769999999999992"/>
    <x v="472"/>
    <d v="2019-02-25T00:00:00"/>
    <n v="6.3"/>
    <x v="1"/>
    <n v="2"/>
    <x v="1"/>
    <n v="2019"/>
  </r>
  <r>
    <s v="Alex"/>
    <x v="0"/>
    <s v="Normal"/>
    <x v="0"/>
    <x v="3"/>
    <n v="33.26"/>
    <n v="5"/>
    <n v="8.3149999999999995"/>
    <x v="473"/>
    <d v="2019-03-18T00:00:00"/>
    <n v="4.2"/>
    <x v="2"/>
    <n v="3"/>
    <x v="2"/>
    <n v="2019"/>
  </r>
  <r>
    <s v="Giza"/>
    <x v="1"/>
    <s v="Normal"/>
    <x v="1"/>
    <x v="1"/>
    <n v="84.07"/>
    <n v="4"/>
    <n v="16.814"/>
    <x v="474"/>
    <d v="2019-03-07T00:00:00"/>
    <n v="4.4000000000000004"/>
    <x v="2"/>
    <n v="3"/>
    <x v="1"/>
    <n v="2019"/>
  </r>
  <r>
    <s v="Cairo"/>
    <x v="2"/>
    <s v="Normal"/>
    <x v="1"/>
    <x v="3"/>
    <n v="34.369999999999997"/>
    <n v="10"/>
    <n v="17.184999999999999"/>
    <x v="475"/>
    <d v="2019-03-16T00:00:00"/>
    <n v="6.7"/>
    <x v="1"/>
    <n v="3"/>
    <x v="1"/>
    <n v="2019"/>
  </r>
  <r>
    <s v="Alex"/>
    <x v="0"/>
    <s v="Normal"/>
    <x v="1"/>
    <x v="1"/>
    <n v="38.6"/>
    <n v="1"/>
    <n v="1.93"/>
    <x v="476"/>
    <d v="2019-01-29T00:00:00"/>
    <n v="6.7"/>
    <x v="1"/>
    <n v="1"/>
    <x v="1"/>
    <n v="2019"/>
  </r>
  <r>
    <s v="Giza"/>
    <x v="1"/>
    <s v="Normal"/>
    <x v="1"/>
    <x v="4"/>
    <n v="65.97"/>
    <n v="8"/>
    <n v="26.388000000000002"/>
    <x v="477"/>
    <d v="2019-02-02T00:00:00"/>
    <n v="8.4"/>
    <x v="0"/>
    <n v="2"/>
    <x v="0"/>
    <n v="2019"/>
  </r>
  <r>
    <s v="Giza"/>
    <x v="1"/>
    <s v="Normal"/>
    <x v="0"/>
    <x v="1"/>
    <n v="32.799999999999997"/>
    <n v="10"/>
    <n v="16.399999999999999"/>
    <x v="478"/>
    <d v="2019-02-15T00:00:00"/>
    <n v="6.2"/>
    <x v="1"/>
    <n v="2"/>
    <x v="2"/>
    <n v="2019"/>
  </r>
  <r>
    <s v="Alex"/>
    <x v="0"/>
    <s v="Normal"/>
    <x v="1"/>
    <x v="3"/>
    <n v="37.14"/>
    <n v="5"/>
    <n v="9.2850000000000001"/>
    <x v="479"/>
    <d v="2019-01-08T00:00:00"/>
    <n v="5"/>
    <x v="1"/>
    <n v="1"/>
    <x v="2"/>
    <n v="2019"/>
  </r>
  <r>
    <s v="Cairo"/>
    <x v="2"/>
    <s v="Member"/>
    <x v="1"/>
    <x v="2"/>
    <n v="60.38"/>
    <n v="10"/>
    <n v="30.19"/>
    <x v="480"/>
    <d v="2019-02-12T00:00:00"/>
    <n v="6"/>
    <x v="1"/>
    <n v="2"/>
    <x v="0"/>
    <n v="2019"/>
  </r>
  <r>
    <s v="Giza"/>
    <x v="1"/>
    <s v="Member"/>
    <x v="0"/>
    <x v="3"/>
    <n v="36.979999999999997"/>
    <n v="10"/>
    <n v="18.489999999999998"/>
    <x v="481"/>
    <d v="2019-01-01T00:00:00"/>
    <n v="7"/>
    <x v="1"/>
    <n v="1"/>
    <x v="2"/>
    <n v="2019"/>
  </r>
  <r>
    <s v="Cairo"/>
    <x v="2"/>
    <s v="Member"/>
    <x v="0"/>
    <x v="3"/>
    <n v="49.49"/>
    <n v="4"/>
    <n v="9.8979999999999997"/>
    <x v="482"/>
    <d v="2019-03-21T00:00:00"/>
    <n v="6.6"/>
    <x v="1"/>
    <n v="3"/>
    <x v="0"/>
    <n v="2019"/>
  </r>
  <r>
    <s v="Cairo"/>
    <x v="2"/>
    <s v="Normal"/>
    <x v="0"/>
    <x v="5"/>
    <n v="41.09"/>
    <n v="10"/>
    <n v="20.545000000000002"/>
    <x v="483"/>
    <d v="2019-02-28T00:00:00"/>
    <n v="7.3"/>
    <x v="1"/>
    <n v="2"/>
    <x v="1"/>
    <n v="2019"/>
  </r>
  <r>
    <s v="Alex"/>
    <x v="0"/>
    <s v="Normal"/>
    <x v="1"/>
    <x v="5"/>
    <n v="37.15"/>
    <n v="4"/>
    <n v="7.43"/>
    <x v="484"/>
    <d v="2019-03-23T00:00:00"/>
    <n v="8.3000000000000007"/>
    <x v="0"/>
    <n v="3"/>
    <x v="2"/>
    <n v="2019"/>
  </r>
  <r>
    <s v="Giza"/>
    <x v="1"/>
    <s v="Normal"/>
    <x v="1"/>
    <x v="2"/>
    <n v="22.96"/>
    <n v="1"/>
    <n v="1.1479999999999999"/>
    <x v="485"/>
    <d v="2019-01-30T00:00:00"/>
    <n v="4.3"/>
    <x v="2"/>
    <n v="1"/>
    <x v="1"/>
    <n v="2019"/>
  </r>
  <r>
    <s v="Cairo"/>
    <x v="2"/>
    <s v="Member"/>
    <x v="0"/>
    <x v="2"/>
    <n v="77.680000000000007"/>
    <n v="9"/>
    <n v="34.956000000000003"/>
    <x v="486"/>
    <d v="2019-02-04T00:00:00"/>
    <n v="9.8000000000000007"/>
    <x v="0"/>
    <n v="2"/>
    <x v="0"/>
    <n v="2019"/>
  </r>
  <r>
    <s v="Cairo"/>
    <x v="2"/>
    <s v="Normal"/>
    <x v="0"/>
    <x v="5"/>
    <n v="34.700000000000003"/>
    <n v="2"/>
    <n v="3.47"/>
    <x v="487"/>
    <d v="2019-03-13T00:00:00"/>
    <n v="8.1999999999999993"/>
    <x v="0"/>
    <n v="3"/>
    <x v="2"/>
    <n v="2019"/>
  </r>
  <r>
    <s v="Alex"/>
    <x v="0"/>
    <s v="Member"/>
    <x v="0"/>
    <x v="5"/>
    <n v="19.66"/>
    <n v="10"/>
    <n v="9.83"/>
    <x v="488"/>
    <d v="2019-03-15T00:00:00"/>
    <n v="7.2"/>
    <x v="1"/>
    <n v="3"/>
    <x v="1"/>
    <n v="2019"/>
  </r>
  <r>
    <s v="Cairo"/>
    <x v="2"/>
    <s v="Member"/>
    <x v="0"/>
    <x v="0"/>
    <n v="25.32"/>
    <n v="8"/>
    <n v="10.128"/>
    <x v="489"/>
    <d v="2019-03-05T00:00:00"/>
    <n v="8.6999999999999993"/>
    <x v="0"/>
    <n v="3"/>
    <x v="1"/>
    <n v="2019"/>
  </r>
  <r>
    <s v="Giza"/>
    <x v="1"/>
    <s v="Member"/>
    <x v="0"/>
    <x v="2"/>
    <n v="12.12"/>
    <n v="10"/>
    <n v="6.06"/>
    <x v="490"/>
    <d v="2019-03-05T00:00:00"/>
    <n v="8.4"/>
    <x v="0"/>
    <n v="3"/>
    <x v="1"/>
    <n v="2019"/>
  </r>
  <r>
    <s v="Cairo"/>
    <x v="2"/>
    <s v="Normal"/>
    <x v="1"/>
    <x v="5"/>
    <n v="99.89"/>
    <n v="2"/>
    <n v="9.9890000000000008"/>
    <x v="491"/>
    <d v="2019-02-26T00:00:00"/>
    <n v="7.1"/>
    <x v="1"/>
    <n v="2"/>
    <x v="1"/>
    <n v="2019"/>
  </r>
  <r>
    <s v="Cairo"/>
    <x v="2"/>
    <s v="Normal"/>
    <x v="1"/>
    <x v="3"/>
    <n v="75.92"/>
    <n v="8"/>
    <n v="30.367999999999999"/>
    <x v="492"/>
    <d v="2019-03-20T00:00:00"/>
    <n v="5.5"/>
    <x v="1"/>
    <n v="3"/>
    <x v="2"/>
    <n v="2019"/>
  </r>
  <r>
    <s v="Giza"/>
    <x v="1"/>
    <s v="Normal"/>
    <x v="0"/>
    <x v="1"/>
    <n v="63.22"/>
    <n v="2"/>
    <n v="6.3220000000000001"/>
    <x v="493"/>
    <d v="2019-01-01T00:00:00"/>
    <n v="8.5"/>
    <x v="0"/>
    <n v="1"/>
    <x v="1"/>
    <n v="2019"/>
  </r>
  <r>
    <s v="Giza"/>
    <x v="1"/>
    <s v="Normal"/>
    <x v="0"/>
    <x v="4"/>
    <n v="90.24"/>
    <n v="6"/>
    <n v="27.071999999999999"/>
    <x v="494"/>
    <d v="2019-01-27T00:00:00"/>
    <n v="6.2"/>
    <x v="1"/>
    <n v="1"/>
    <x v="0"/>
    <n v="2019"/>
  </r>
  <r>
    <s v="Cairo"/>
    <x v="2"/>
    <s v="Member"/>
    <x v="0"/>
    <x v="3"/>
    <n v="98.13"/>
    <n v="1"/>
    <n v="4.9065000000000003"/>
    <x v="495"/>
    <d v="2019-01-21T00:00:00"/>
    <n v="8.9"/>
    <x v="0"/>
    <n v="1"/>
    <x v="0"/>
    <n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936A22-5143-485C-8AD8-515E5FB9537B}"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ATINGS">
  <location ref="M13:N17" firstHeaderRow="1" firstDataRow="1" firstDataCol="1"/>
  <pivotFields count="15">
    <pivotField showAll="0"/>
    <pivotField showAll="0"/>
    <pivotField showAll="0"/>
    <pivotField showAll="0"/>
    <pivotField showAll="0"/>
    <pivotField showAll="0"/>
    <pivotField showAll="0"/>
    <pivotField showAll="0"/>
    <pivotField dataField="1" showAll="0"/>
    <pivotField numFmtId="165" showAll="0"/>
    <pivotField showAll="0"/>
    <pivotField axis="axisRow" showAll="0">
      <items count="6">
        <item x="1"/>
        <item m="1" x="4"/>
        <item x="0"/>
        <item x="2"/>
        <item m="1" x="3"/>
        <item t="default"/>
      </items>
    </pivotField>
    <pivotField showAll="0"/>
    <pivotField showAll="0"/>
    <pivotField showAll="0"/>
  </pivotFields>
  <rowFields count="1">
    <field x="11"/>
  </rowFields>
  <rowItems count="4">
    <i>
      <x/>
    </i>
    <i>
      <x v="2"/>
    </i>
    <i>
      <x v="3"/>
    </i>
    <i t="grand">
      <x/>
    </i>
  </rowItems>
  <colItems count="1">
    <i/>
  </colItems>
  <dataFields count="1">
    <dataField name="Count of Sales" fld="8" subtotal="count" baseField="11" baseItem="0"/>
  </dataFields>
  <formats count="6">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fieldPosition="0">
        <references count="1">
          <reference field="11" count="0"/>
        </references>
      </pivotArea>
    </format>
    <format dxfId="19">
      <pivotArea dataOnly="0" labelOnly="1" grandRow="1" outline="0" fieldPosition="0"/>
    </format>
    <format dxfId="18">
      <pivotArea dataOnly="0" labelOnly="1" outline="0" axis="axisValues"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6F46FF-832F-4B00-B40F-11E5BB58892D}"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I13:J17" firstHeaderRow="1" firstDataRow="1" firstDataCol="1"/>
  <pivotFields count="15">
    <pivotField showAll="0"/>
    <pivotField showAll="0">
      <items count="4">
        <item h="1" x="2"/>
        <item x="1"/>
        <item h="1" x="0"/>
        <item t="default"/>
      </items>
    </pivotField>
    <pivotField showAll="0"/>
    <pivotField showAll="0">
      <items count="3">
        <item x="0"/>
        <item h="1" x="1"/>
        <item t="default"/>
      </items>
    </pivotField>
    <pivotField showAll="0"/>
    <pivotField showAll="0"/>
    <pivotField showAll="0"/>
    <pivotField showAll="0"/>
    <pivotField dataField="1" showAll="0">
      <items count="497">
        <item x="221"/>
        <item x="440"/>
        <item x="399"/>
        <item x="280"/>
        <item x="53"/>
        <item x="421"/>
        <item x="213"/>
        <item x="69"/>
        <item x="442"/>
        <item x="465"/>
        <item x="460"/>
        <item x="485"/>
        <item x="271"/>
        <item x="450"/>
        <item x="196"/>
        <item x="445"/>
        <item x="250"/>
        <item x="352"/>
        <item x="142"/>
        <item x="44"/>
        <item x="229"/>
        <item x="54"/>
        <item x="109"/>
        <item x="26"/>
        <item x="456"/>
        <item x="279"/>
        <item x="476"/>
        <item x="299"/>
        <item x="446"/>
        <item x="319"/>
        <item x="269"/>
        <item x="87"/>
        <item x="408"/>
        <item x="331"/>
        <item x="431"/>
        <item x="300"/>
        <item x="99"/>
        <item x="116"/>
        <item x="378"/>
        <item x="184"/>
        <item x="262"/>
        <item x="10"/>
        <item x="220"/>
        <item x="290"/>
        <item x="424"/>
        <item x="314"/>
        <item x="160"/>
        <item x="259"/>
        <item x="236"/>
        <item x="254"/>
        <item x="22"/>
        <item x="66"/>
        <item x="35"/>
        <item x="435"/>
        <item x="403"/>
        <item x="487"/>
        <item x="310"/>
        <item x="52"/>
        <item x="344"/>
        <item x="155"/>
        <item x="8"/>
        <item x="291"/>
        <item x="332"/>
        <item x="187"/>
        <item x="60"/>
        <item x="194"/>
        <item x="96"/>
        <item x="284"/>
        <item x="357"/>
        <item x="382"/>
        <item x="1"/>
        <item x="389"/>
        <item x="410"/>
        <item x="306"/>
        <item x="391"/>
        <item x="19"/>
        <item x="114"/>
        <item x="414"/>
        <item x="356"/>
        <item x="451"/>
        <item x="183"/>
        <item x="222"/>
        <item x="428"/>
        <item x="40"/>
        <item x="234"/>
        <item x="437"/>
        <item x="195"/>
        <item x="297"/>
        <item x="56"/>
        <item x="203"/>
        <item x="237"/>
        <item x="245"/>
        <item x="93"/>
        <item x="207"/>
        <item x="320"/>
        <item x="376"/>
        <item x="251"/>
        <item x="412"/>
        <item x="94"/>
        <item x="495"/>
        <item x="329"/>
        <item x="466"/>
        <item x="152"/>
        <item x="78"/>
        <item x="11"/>
        <item x="192"/>
        <item x="409"/>
        <item x="118"/>
        <item x="117"/>
        <item x="115"/>
        <item x="41"/>
        <item x="48"/>
        <item x="415"/>
        <item x="199"/>
        <item x="294"/>
        <item x="417"/>
        <item x="406"/>
        <item x="239"/>
        <item x="302"/>
        <item x="490"/>
        <item x="368"/>
        <item x="394"/>
        <item x="214"/>
        <item x="493"/>
        <item x="386"/>
        <item x="256"/>
        <item x="322"/>
        <item x="253"/>
        <item x="135"/>
        <item x="448"/>
        <item x="441"/>
        <item x="342"/>
        <item x="347"/>
        <item x="444"/>
        <item x="427"/>
        <item x="309"/>
        <item x="212"/>
        <item x="131"/>
        <item x="311"/>
        <item x="429"/>
        <item x="264"/>
        <item x="333"/>
        <item x="336"/>
        <item x="365"/>
        <item x="338"/>
        <item x="327"/>
        <item x="72"/>
        <item x="190"/>
        <item x="452"/>
        <item x="225"/>
        <item x="484"/>
        <item x="162"/>
        <item x="260"/>
        <item x="91"/>
        <item x="81"/>
        <item x="181"/>
        <item x="255"/>
        <item x="176"/>
        <item x="63"/>
        <item x="97"/>
        <item x="173"/>
        <item x="65"/>
        <item x="468"/>
        <item x="125"/>
        <item x="228"/>
        <item x="193"/>
        <item x="307"/>
        <item x="18"/>
        <item x="105"/>
        <item x="9"/>
        <item x="362"/>
        <item x="197"/>
        <item x="473"/>
        <item x="171"/>
        <item x="217"/>
        <item x="23"/>
        <item x="396"/>
        <item x="223"/>
        <item x="27"/>
        <item x="317"/>
        <item x="416"/>
        <item x="175"/>
        <item x="47"/>
        <item x="292"/>
        <item x="413"/>
        <item x="346"/>
        <item x="59"/>
        <item x="367"/>
        <item x="398"/>
        <item x="479"/>
        <item x="186"/>
        <item x="233"/>
        <item x="240"/>
        <item x="89"/>
        <item x="282"/>
        <item x="33"/>
        <item x="366"/>
        <item x="270"/>
        <item x="289"/>
        <item x="472"/>
        <item x="488"/>
        <item x="482"/>
        <item x="328"/>
        <item x="313"/>
        <item x="400"/>
        <item x="360"/>
        <item x="298"/>
        <item x="491"/>
        <item x="489"/>
        <item x="457"/>
        <item x="420"/>
        <item x="434"/>
        <item x="326"/>
        <item x="381"/>
        <item x="301"/>
        <item x="318"/>
        <item x="136"/>
        <item x="204"/>
        <item x="101"/>
        <item x="316"/>
        <item x="103"/>
        <item x="285"/>
        <item x="274"/>
        <item x="235"/>
        <item x="464"/>
        <item x="261"/>
        <item x="51"/>
        <item x="29"/>
        <item x="238"/>
        <item x="405"/>
        <item x="200"/>
        <item x="189"/>
        <item x="12"/>
        <item x="209"/>
        <item x="397"/>
        <item x="296"/>
        <item x="39"/>
        <item x="387"/>
        <item x="150"/>
        <item x="351"/>
        <item x="244"/>
        <item x="83"/>
        <item x="395"/>
        <item x="241"/>
        <item x="156"/>
        <item x="418"/>
        <item x="370"/>
        <item x="461"/>
        <item x="202"/>
        <item x="293"/>
        <item x="148"/>
        <item x="463"/>
        <item x="178"/>
        <item x="257"/>
        <item x="21"/>
        <item x="146"/>
        <item x="24"/>
        <item x="402"/>
        <item x="134"/>
        <item x="393"/>
        <item x="218"/>
        <item x="182"/>
        <item x="404"/>
        <item x="443"/>
        <item x="129"/>
        <item x="144"/>
        <item x="188"/>
        <item x="383"/>
        <item x="304"/>
        <item x="266"/>
        <item x="215"/>
        <item x="206"/>
        <item x="126"/>
        <item x="80"/>
        <item x="110"/>
        <item x="231"/>
        <item x="459"/>
        <item x="380"/>
        <item x="145"/>
        <item x="64"/>
        <item x="174"/>
        <item x="107"/>
        <item x="167"/>
        <item x="180"/>
        <item x="321"/>
        <item x="246"/>
        <item x="36"/>
        <item x="172"/>
        <item x="449"/>
        <item x="373"/>
        <item x="161"/>
        <item x="82"/>
        <item x="471"/>
        <item x="384"/>
        <item x="2"/>
        <item x="363"/>
        <item x="436"/>
        <item x="478"/>
        <item x="377"/>
        <item x="433"/>
        <item x="283"/>
        <item x="61"/>
        <item x="371"/>
        <item x="273"/>
        <item x="474"/>
        <item x="425"/>
        <item x="268"/>
        <item x="286"/>
        <item x="164"/>
        <item x="407"/>
        <item x="475"/>
        <item x="159"/>
        <item x="86"/>
        <item x="335"/>
        <item x="102"/>
        <item x="169"/>
        <item x="249"/>
        <item x="267"/>
        <item x="353"/>
        <item x="198"/>
        <item x="349"/>
        <item x="422"/>
        <item x="149"/>
        <item x="481"/>
        <item x="423"/>
        <item x="106"/>
        <item x="315"/>
        <item x="354"/>
        <item x="45"/>
        <item x="325"/>
        <item x="388"/>
        <item x="243"/>
        <item x="275"/>
        <item x="85"/>
        <item x="350"/>
        <item x="330"/>
        <item x="337"/>
        <item x="392"/>
        <item x="375"/>
        <item x="323"/>
        <item x="339"/>
        <item x="34"/>
        <item x="163"/>
        <item x="120"/>
        <item x="170"/>
        <item x="288"/>
        <item x="411"/>
        <item x="483"/>
        <item x="6"/>
        <item x="42"/>
        <item x="75"/>
        <item x="248"/>
        <item x="369"/>
        <item x="25"/>
        <item x="201"/>
        <item x="20"/>
        <item x="469"/>
        <item x="13"/>
        <item x="219"/>
        <item x="17"/>
        <item x="361"/>
        <item x="38"/>
        <item x="277"/>
        <item x="76"/>
        <item x="28"/>
        <item x="177"/>
        <item x="447"/>
        <item x="90"/>
        <item x="179"/>
        <item x="123"/>
        <item x="73"/>
        <item x="154"/>
        <item x="211"/>
        <item x="364"/>
        <item x="88"/>
        <item x="455"/>
        <item x="3"/>
        <item x="143"/>
        <item x="295"/>
        <item x="30"/>
        <item x="252"/>
        <item x="308"/>
        <item x="16"/>
        <item x="372"/>
        <item x="341"/>
        <item x="385"/>
        <item x="168"/>
        <item x="133"/>
        <item x="62"/>
        <item x="98"/>
        <item x="379"/>
        <item x="324"/>
        <item x="467"/>
        <item x="303"/>
        <item x="227"/>
        <item x="111"/>
        <item x="46"/>
        <item x="122"/>
        <item x="247"/>
        <item x="137"/>
        <item x="232"/>
        <item x="390"/>
        <item x="112"/>
        <item x="0"/>
        <item x="132"/>
        <item x="477"/>
        <item x="340"/>
        <item x="494"/>
        <item x="226"/>
        <item x="462"/>
        <item x="37"/>
        <item x="127"/>
        <item x="130"/>
        <item x="278"/>
        <item x="158"/>
        <item x="15"/>
        <item x="147"/>
        <item x="92"/>
        <item x="138"/>
        <item x="470"/>
        <item x="84"/>
        <item x="67"/>
        <item x="79"/>
        <item x="5"/>
        <item x="272"/>
        <item x="281"/>
        <item x="205"/>
        <item x="480"/>
        <item x="4"/>
        <item x="492"/>
        <item x="71"/>
        <item x="224"/>
        <item x="50"/>
        <item x="358"/>
        <item x="153"/>
        <item x="124"/>
        <item x="287"/>
        <item x="374"/>
        <item x="430"/>
        <item x="32"/>
        <item x="74"/>
        <item x="258"/>
        <item x="401"/>
        <item x="141"/>
        <item x="334"/>
        <item x="55"/>
        <item x="263"/>
        <item x="453"/>
        <item x="486"/>
        <item x="343"/>
        <item x="31"/>
        <item x="100"/>
        <item x="438"/>
        <item x="276"/>
        <item x="305"/>
        <item x="14"/>
        <item x="345"/>
        <item x="57"/>
        <item x="58"/>
        <item x="113"/>
        <item x="458"/>
        <item x="7"/>
        <item x="265"/>
        <item x="151"/>
        <item x="242"/>
        <item x="359"/>
        <item x="185"/>
        <item x="230"/>
        <item x="216"/>
        <item x="312"/>
        <item x="77"/>
        <item x="68"/>
        <item x="43"/>
        <item x="191"/>
        <item x="454"/>
        <item x="119"/>
        <item x="439"/>
        <item x="128"/>
        <item x="108"/>
        <item x="49"/>
        <item x="210"/>
        <item x="157"/>
        <item x="95"/>
        <item x="104"/>
        <item x="432"/>
        <item x="70"/>
        <item x="208"/>
        <item x="139"/>
        <item x="121"/>
        <item x="140"/>
        <item x="426"/>
        <item x="355"/>
        <item x="165"/>
        <item x="419"/>
        <item x="166"/>
        <item x="348"/>
        <item t="default"/>
      </items>
    </pivotField>
    <pivotField numFmtId="165" showAll="0"/>
    <pivotField showAll="0"/>
    <pivotField showAll="0">
      <items count="6">
        <item x="2"/>
        <item x="1"/>
        <item m="1" x="4"/>
        <item x="0"/>
        <item m="1" x="3"/>
        <item t="default"/>
      </items>
    </pivotField>
    <pivotField showAll="0"/>
    <pivotField axis="axisRow" showAll="0">
      <items count="4">
        <item x="0"/>
        <item x="2"/>
        <item x="1"/>
        <item t="default"/>
      </items>
    </pivotField>
    <pivotField showAll="0"/>
  </pivotFields>
  <rowFields count="1">
    <field x="13"/>
  </rowFields>
  <rowItems count="4">
    <i>
      <x/>
    </i>
    <i>
      <x v="1"/>
    </i>
    <i>
      <x v="2"/>
    </i>
    <i t="grand">
      <x/>
    </i>
  </rowItems>
  <colItems count="1">
    <i/>
  </colItems>
  <dataFields count="1">
    <dataField name="Sum of Sales" fld="8" baseField="13" baseItem="0" numFmtId="166"/>
  </dataFields>
  <formats count="6">
    <format dxfId="17">
      <pivotArea type="all" dataOnly="0" outline="0" fieldPosition="0"/>
    </format>
    <format dxfId="16">
      <pivotArea outline="0" collapsedLevelsAreSubtotals="1" fieldPosition="0"/>
    </format>
    <format dxfId="15">
      <pivotArea field="13" type="button" dataOnly="0" labelOnly="1" outline="0" axis="axisRow" fieldPosition="0"/>
    </format>
    <format dxfId="14">
      <pivotArea dataOnly="0" labelOnly="1" fieldPosition="0">
        <references count="1">
          <reference field="13" count="0"/>
        </references>
      </pivotArea>
    </format>
    <format dxfId="13">
      <pivotArea dataOnly="0" labelOnly="1" grandRow="1" outline="0" fieldPosition="0"/>
    </format>
    <format dxfId="12">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FDD434-F71E-4C35-876C-5E020DD8DCD5}"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CATEGORY">
  <location ref="E19:F26" firstHeaderRow="1" firstDataRow="1" firstDataCol="1"/>
  <pivotFields count="15">
    <pivotField showAll="0"/>
    <pivotField showAll="0"/>
    <pivotField showAll="0"/>
    <pivotField showAll="0"/>
    <pivotField axis="axisRow" showAll="0">
      <items count="7">
        <item x="1"/>
        <item x="5"/>
        <item x="4"/>
        <item x="0"/>
        <item x="2"/>
        <item x="3"/>
        <item t="default"/>
      </items>
    </pivotField>
    <pivotField showAll="0"/>
    <pivotField showAll="0"/>
    <pivotField showAll="0"/>
    <pivotField dataField="1" showAll="0"/>
    <pivotField numFmtId="165" showAll="0"/>
    <pivotField showAll="0"/>
    <pivotField showAll="0"/>
    <pivotField showAll="0"/>
    <pivotField showAll="0">
      <items count="4">
        <item x="0"/>
        <item x="2"/>
        <item x="1"/>
        <item t="default"/>
      </items>
    </pivotField>
    <pivotField showAll="0"/>
  </pivotFields>
  <rowFields count="1">
    <field x="4"/>
  </rowFields>
  <rowItems count="7">
    <i>
      <x/>
    </i>
    <i>
      <x v="1"/>
    </i>
    <i>
      <x v="2"/>
    </i>
    <i>
      <x v="3"/>
    </i>
    <i>
      <x v="4"/>
    </i>
    <i>
      <x v="5"/>
    </i>
    <i t="grand">
      <x/>
    </i>
  </rowItems>
  <colItems count="1">
    <i/>
  </colItems>
  <dataFields count="1">
    <dataField name="Sum of Sales" fld="8" baseField="4" baseItem="0" numFmtId="166"/>
  </dataFields>
  <formats count="8">
    <format dxfId="24">
      <pivotArea collapsedLevelsAreSubtotals="1" fieldPosition="0">
        <references count="1">
          <reference field="4" count="1">
            <x v="0"/>
          </reference>
        </references>
      </pivotArea>
    </format>
    <format dxfId="25">
      <pivotArea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s>
  <chartFormats count="7">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4" count="1" selected="0">
            <x v="0"/>
          </reference>
        </references>
      </pivotArea>
    </chartFormat>
    <chartFormat chart="28" format="16">
      <pivotArea type="data" outline="0" fieldPosition="0">
        <references count="2">
          <reference field="4294967294" count="1" selected="0">
            <x v="0"/>
          </reference>
          <reference field="4" count="1" selected="0">
            <x v="1"/>
          </reference>
        </references>
      </pivotArea>
    </chartFormat>
    <chartFormat chart="28" format="17">
      <pivotArea type="data" outline="0" fieldPosition="0">
        <references count="2">
          <reference field="4294967294" count="1" selected="0">
            <x v="0"/>
          </reference>
          <reference field="4" count="1" selected="0">
            <x v="2"/>
          </reference>
        </references>
      </pivotArea>
    </chartFormat>
    <chartFormat chart="28" format="18">
      <pivotArea type="data" outline="0" fieldPosition="0">
        <references count="2">
          <reference field="4294967294" count="1" selected="0">
            <x v="0"/>
          </reference>
          <reference field="4" count="1" selected="0">
            <x v="3"/>
          </reference>
        </references>
      </pivotArea>
    </chartFormat>
    <chartFormat chart="28" format="19">
      <pivotArea type="data" outline="0" fieldPosition="0">
        <references count="2">
          <reference field="4294967294" count="1" selected="0">
            <x v="0"/>
          </reference>
          <reference field="4" count="1" selected="0">
            <x v="4"/>
          </reference>
        </references>
      </pivotArea>
    </chartFormat>
    <chartFormat chart="28" format="2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FA8A76-90F7-4DA3-9EAD-1DE032B5EB01}"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location ref="B19:C2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67"/>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D3E01AD-A962-41E8-A2FE-B2A93E5D2C97}" sourceName="Gender">
  <pivotTables>
    <pivotTable tabId="6" name="PivotTable5"/>
  </pivotTables>
  <data>
    <tabular pivotCacheId="142419412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 xr10:uid="{76A7D61D-F04F-4064-9433-5BDD374931C2}" sourceName="MON">
  <pivotTables>
    <pivotTable tabId="6" name="PivotTable5"/>
    <pivotTable tabId="6" name="PivotTable4"/>
  </pivotTables>
  <data>
    <tabular pivotCacheId="14241941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E8BF6E7-8B1F-4FFE-A783-EAE6106CBCF2}" sourceName="City">
  <pivotTables>
    <pivotTable tabId="6" name="PivotTable5"/>
  </pivotTables>
  <data>
    <tabular pivotCacheId="1424194126">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95F1319-DDDD-4C7C-BA2F-95AA931B5A27}" cache="Slicer_Gender" caption="Gender" rowHeight="731520"/>
  <slicer name="MON" xr10:uid="{624A0DFD-1085-439D-9CA8-1C454B3AF141}" cache="Slicer_MON" caption="MON" rowHeight="640080"/>
  <slicer name="City" xr10:uid="{2863AF2A-D52F-4F3D-A1C9-9A09F432799E}" cache="Slicer_City" caption="City"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1496FA-06C8-41BA-B713-94000E1CDA22}" name="Sales" displayName="Sales" ref="A1:O500" totalsRowShown="0">
  <autoFilter ref="A1:O500" xr:uid="{381496FA-06C8-41BA-B713-94000E1CDA22}"/>
  <tableColumns count="15">
    <tableColumn id="1" xr3:uid="{EDC82A5D-122B-4303-9B3D-BC01F4114782}" name="Branch"/>
    <tableColumn id="2" xr3:uid="{5FF85C04-9585-49BB-A15A-FA4BCB612CFF}" name="City"/>
    <tableColumn id="3" xr3:uid="{0D97773C-3135-40C7-B42C-FF75ADB1E258}" name="Customer type"/>
    <tableColumn id="4" xr3:uid="{99012769-B09A-4DF2-9128-AA15DE3FC54E}" name="Gender"/>
    <tableColumn id="5" xr3:uid="{602BDE3E-3DEF-45A9-A03F-207CCFDE90F2}" name="Product line"/>
    <tableColumn id="6" xr3:uid="{B34D1739-98D3-4CC3-AC3F-32526DC94F78}" name="Unit price"/>
    <tableColumn id="7" xr3:uid="{D3896BDB-F082-4DEC-A77D-11A3AD1E1855}" name="Quantity"/>
    <tableColumn id="8" xr3:uid="{44F161BC-C36F-4E2B-B983-B6E85D8872C6}" name="Tax 5%"/>
    <tableColumn id="9" xr3:uid="{D5879F03-4A90-4E58-8501-536105D4E4EE}" name="Sales"/>
    <tableColumn id="10" xr3:uid="{90786537-13BA-46A1-B0C3-F58C0EE5F89B}" name="Date" dataDxfId="29"/>
    <tableColumn id="11" xr3:uid="{A8482A0F-5FE8-4F97-9DB4-771C8A3F20BF}" name="Rating"/>
    <tableColumn id="12" xr3:uid="{85A634A3-BD13-4B2C-A76A-9E9207CB5E95}" name="Rating class" dataDxfId="28">
      <calculatedColumnFormula array="1">_xlfn.IFS(Sales[[#This Row],[Rating]]&gt;8,"Super",Sales[[#This Row],[Rating]]&gt;=5,"Good",Sales[[#This Row],[Rating]]&lt;5,"Average")</calculatedColumnFormula>
    </tableColumn>
    <tableColumn id="13" xr3:uid="{D08A24AB-F9CF-4DD5-B57D-1E24099B0DF6}" name="month" dataDxfId="27">
      <calculatedColumnFormula>MONTH(J2)</calculatedColumnFormula>
    </tableColumn>
    <tableColumn id="14" xr3:uid="{84AA215B-96A5-4364-8D2C-95B3F82CB6F4}" name="MON" dataDxfId="26">
      <calculatedColumnFormula>TEXT(J1,"MMM")</calculatedColumnFormula>
    </tableColumn>
    <tableColumn id="15" xr3:uid="{46CC48EF-BC3E-4968-9E60-C776AFF865CA}" name="Year">
      <calculatedColumnFormula>YEAR(J2)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16CEA1-358D-4A7E-91F4-1965AAB7F2D6}" name="Table3" displayName="Table3" ref="Q2:Q7" totalsRowShown="0">
  <autoFilter ref="Q2:Q7" xr:uid="{D516CEA1-358D-4A7E-91F4-1965AAB7F2D6}"/>
  <tableColumns count="1">
    <tableColumn id="1" xr3:uid="{3ACC5A61-1763-497A-8A86-9F8496C0380B}" name="Total sales"/>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5C32-C33C-4B85-BCEA-C6A9A067E148}">
  <dimension ref="A7:Y26"/>
  <sheetViews>
    <sheetView showGridLines="0" zoomScale="37" zoomScaleNormal="100" zoomScalePageLayoutView="43" workbookViewId="0">
      <selection activeCell="X15" sqref="X15"/>
    </sheetView>
  </sheetViews>
  <sheetFormatPr defaultRowHeight="14.4" x14ac:dyDescent="0.3"/>
  <cols>
    <col min="2" max="2" width="25" customWidth="1"/>
    <col min="3" max="3" width="36.77734375" bestFit="1" customWidth="1"/>
    <col min="5" max="5" width="51.21875" bestFit="1" customWidth="1"/>
    <col min="6" max="6" width="36.33203125" bestFit="1" customWidth="1"/>
    <col min="7" max="7" width="13.77734375" customWidth="1"/>
    <col min="9" max="9" width="29" bestFit="1" customWidth="1"/>
    <col min="10" max="10" width="33.21875" bestFit="1" customWidth="1"/>
    <col min="13" max="13" width="27.77734375" customWidth="1"/>
    <col min="14" max="14" width="34.33203125" bestFit="1" customWidth="1"/>
    <col min="23" max="23" width="8.88671875" customWidth="1"/>
  </cols>
  <sheetData>
    <row r="7" spans="9:25" x14ac:dyDescent="0.3">
      <c r="Y7">
        <v>4</v>
      </c>
    </row>
    <row r="13" spans="9:25" ht="33.6" x14ac:dyDescent="0.65">
      <c r="I13" s="5" t="s">
        <v>42</v>
      </c>
      <c r="J13" s="4" t="s">
        <v>35</v>
      </c>
      <c r="M13" s="5" t="s">
        <v>43</v>
      </c>
      <c r="N13" s="4" t="s">
        <v>39</v>
      </c>
    </row>
    <row r="14" spans="9:25" ht="33.6" x14ac:dyDescent="0.65">
      <c r="I14" s="6" t="s">
        <v>36</v>
      </c>
      <c r="J14" s="8">
        <v>15213.051000000005</v>
      </c>
      <c r="M14" s="6" t="s">
        <v>38</v>
      </c>
      <c r="N14" s="9">
        <v>265</v>
      </c>
    </row>
    <row r="15" spans="9:25" ht="33.6" x14ac:dyDescent="0.65">
      <c r="I15" s="6" t="s">
        <v>37</v>
      </c>
      <c r="J15" s="8">
        <v>14521.426499999996</v>
      </c>
      <c r="M15" s="6" t="s">
        <v>40</v>
      </c>
      <c r="N15" s="9">
        <v>157</v>
      </c>
    </row>
    <row r="16" spans="9:25" ht="33.6" x14ac:dyDescent="0.65">
      <c r="I16" s="6" t="s">
        <v>32</v>
      </c>
      <c r="J16" s="8">
        <v>14728.612499999999</v>
      </c>
      <c r="M16" s="6" t="s">
        <v>41</v>
      </c>
      <c r="N16" s="9">
        <v>77</v>
      </c>
    </row>
    <row r="17" spans="1:15" ht="33.6" x14ac:dyDescent="0.65">
      <c r="I17" s="6" t="s">
        <v>34</v>
      </c>
      <c r="J17" s="8">
        <v>44463.09</v>
      </c>
      <c r="M17" s="6" t="s">
        <v>34</v>
      </c>
      <c r="N17" s="9">
        <v>499</v>
      </c>
    </row>
    <row r="18" spans="1:15" ht="33.6" x14ac:dyDescent="0.65">
      <c r="A18" s="4"/>
      <c r="B18" s="4"/>
      <c r="C18" s="4"/>
      <c r="D18" s="4"/>
      <c r="E18" s="4"/>
      <c r="F18" s="4"/>
      <c r="G18" s="4"/>
      <c r="H18" s="4"/>
      <c r="I18" s="4"/>
      <c r="J18" s="4"/>
      <c r="K18" s="4"/>
      <c r="L18" s="4"/>
      <c r="O18" s="4"/>
    </row>
    <row r="19" spans="1:15" ht="33.6" x14ac:dyDescent="0.65">
      <c r="A19" s="4"/>
      <c r="B19" s="5" t="s">
        <v>45</v>
      </c>
      <c r="C19" s="4" t="s">
        <v>35</v>
      </c>
      <c r="D19" s="4"/>
      <c r="E19" s="5" t="s">
        <v>44</v>
      </c>
      <c r="F19" s="4" t="s">
        <v>35</v>
      </c>
      <c r="G19" s="4"/>
      <c r="H19" s="4"/>
      <c r="K19" s="4"/>
      <c r="L19" s="4"/>
      <c r="O19" s="4"/>
    </row>
    <row r="20" spans="1:15" ht="33.6" x14ac:dyDescent="0.65">
      <c r="A20" s="4"/>
      <c r="B20" s="6" t="s">
        <v>23</v>
      </c>
      <c r="C20" s="7">
        <v>52709.201999999997</v>
      </c>
      <c r="D20" s="4"/>
      <c r="E20" s="6" t="s">
        <v>19</v>
      </c>
      <c r="F20" s="8">
        <v>25478.092499999999</v>
      </c>
      <c r="G20" s="4"/>
      <c r="H20" s="4"/>
      <c r="K20" s="4"/>
      <c r="L20" s="4"/>
      <c r="O20" s="4"/>
    </row>
    <row r="21" spans="1:15" ht="33.6" x14ac:dyDescent="0.65">
      <c r="A21" s="4"/>
      <c r="B21" s="6" t="s">
        <v>17</v>
      </c>
      <c r="C21" s="7">
        <v>58810.29</v>
      </c>
      <c r="D21" s="4"/>
      <c r="E21" s="6" t="s">
        <v>25</v>
      </c>
      <c r="F21" s="8">
        <v>27877.814999999999</v>
      </c>
      <c r="G21" s="4"/>
      <c r="H21" s="4"/>
      <c r="K21" s="4"/>
      <c r="L21" s="4"/>
      <c r="O21" s="4"/>
    </row>
    <row r="22" spans="1:15" ht="33.6" x14ac:dyDescent="0.65">
      <c r="A22" s="4"/>
      <c r="B22" s="6" t="s">
        <v>12</v>
      </c>
      <c r="C22" s="7">
        <v>53045.590499999998</v>
      </c>
      <c r="D22" s="4"/>
      <c r="E22" s="6" t="s">
        <v>24</v>
      </c>
      <c r="F22" s="8">
        <v>28327.918500000003</v>
      </c>
      <c r="G22" s="4"/>
      <c r="H22" s="4"/>
      <c r="K22" s="4"/>
      <c r="L22" s="4"/>
      <c r="O22" s="4"/>
    </row>
    <row r="23" spans="1:15" ht="33.6" x14ac:dyDescent="0.65">
      <c r="A23" s="4"/>
      <c r="B23" s="6" t="s">
        <v>34</v>
      </c>
      <c r="C23" s="7">
        <v>164565.08249999999</v>
      </c>
      <c r="D23" s="4"/>
      <c r="E23" s="6" t="s">
        <v>15</v>
      </c>
      <c r="F23" s="8">
        <v>24748.814999999995</v>
      </c>
      <c r="G23" s="4"/>
      <c r="H23" s="4"/>
      <c r="K23" s="4"/>
      <c r="L23" s="4"/>
      <c r="O23" s="4"/>
    </row>
    <row r="24" spans="1:15" ht="33.6" x14ac:dyDescent="0.65">
      <c r="A24" s="4"/>
      <c r="B24" s="4"/>
      <c r="C24" s="4"/>
      <c r="D24" s="4"/>
      <c r="E24" s="6" t="s">
        <v>20</v>
      </c>
      <c r="F24" s="8">
        <v>28487.025000000001</v>
      </c>
      <c r="G24" s="4"/>
      <c r="H24" s="4"/>
      <c r="K24" s="4"/>
      <c r="L24" s="4"/>
      <c r="M24" s="4"/>
      <c r="N24" s="4"/>
      <c r="O24" s="4"/>
    </row>
    <row r="25" spans="1:15" ht="33.6" x14ac:dyDescent="0.65">
      <c r="A25" s="4"/>
      <c r="B25" s="4"/>
      <c r="C25" s="4"/>
      <c r="D25" s="4"/>
      <c r="E25" s="6" t="s">
        <v>21</v>
      </c>
      <c r="F25" s="8">
        <v>29645.416499999996</v>
      </c>
      <c r="G25" s="4"/>
      <c r="H25" s="4"/>
      <c r="I25" s="4"/>
      <c r="J25" s="4"/>
      <c r="K25" s="4"/>
      <c r="L25" s="4"/>
      <c r="M25" s="4"/>
      <c r="N25" s="4"/>
      <c r="O25" s="4"/>
    </row>
    <row r="26" spans="1:15" ht="33.6" x14ac:dyDescent="0.65">
      <c r="A26" s="4"/>
      <c r="B26" s="4"/>
      <c r="C26" s="4"/>
      <c r="D26" s="4"/>
      <c r="E26" s="6" t="s">
        <v>34</v>
      </c>
      <c r="F26" s="8">
        <v>164565.08249999999</v>
      </c>
      <c r="G26" s="4"/>
      <c r="H26" s="4"/>
      <c r="I26" s="4"/>
      <c r="J26" s="4"/>
      <c r="K26" s="4"/>
      <c r="L26" s="4"/>
      <c r="M26" s="4"/>
      <c r="N26" s="4"/>
      <c r="O26" s="4"/>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23CA2-0A1A-4AEB-9092-43213D532BA6}">
  <dimension ref="A1:R999"/>
  <sheetViews>
    <sheetView tabSelected="1" zoomScale="92" workbookViewId="0">
      <selection activeCell="L2" sqref="L2"/>
    </sheetView>
  </sheetViews>
  <sheetFormatPr defaultRowHeight="14.4" x14ac:dyDescent="0.3"/>
  <cols>
    <col min="3" max="3" width="15" customWidth="1"/>
    <col min="4" max="4" width="9" customWidth="1"/>
    <col min="5" max="5" width="12.88671875" customWidth="1"/>
    <col min="6" max="6" width="11" customWidth="1"/>
    <col min="7" max="7" width="10" customWidth="1"/>
    <col min="10" max="12" width="24.33203125" customWidth="1"/>
    <col min="17" max="17" width="13.6640625" bestFit="1" customWidth="1"/>
  </cols>
  <sheetData>
    <row r="1" spans="1:17" x14ac:dyDescent="0.3">
      <c r="A1" t="s">
        <v>0</v>
      </c>
      <c r="B1" t="s">
        <v>1</v>
      </c>
      <c r="C1" t="s">
        <v>2</v>
      </c>
      <c r="D1" t="s">
        <v>3</v>
      </c>
      <c r="E1" t="s">
        <v>4</v>
      </c>
      <c r="F1" t="s">
        <v>5</v>
      </c>
      <c r="G1" t="s">
        <v>6</v>
      </c>
      <c r="H1" t="s">
        <v>7</v>
      </c>
      <c r="I1" t="s">
        <v>8</v>
      </c>
      <c r="J1" s="2" t="s">
        <v>9</v>
      </c>
      <c r="K1" t="s">
        <v>10</v>
      </c>
      <c r="L1" t="s">
        <v>31</v>
      </c>
      <c r="M1" t="s">
        <v>28</v>
      </c>
      <c r="N1" t="s">
        <v>33</v>
      </c>
      <c r="O1" t="s">
        <v>27</v>
      </c>
    </row>
    <row r="2" spans="1:17" x14ac:dyDescent="0.3">
      <c r="A2" t="s">
        <v>11</v>
      </c>
      <c r="B2" t="s">
        <v>12</v>
      </c>
      <c r="C2" t="s">
        <v>13</v>
      </c>
      <c r="D2" t="s">
        <v>14</v>
      </c>
      <c r="E2" t="s">
        <v>15</v>
      </c>
      <c r="F2">
        <v>74.69</v>
      </c>
      <c r="G2">
        <v>7</v>
      </c>
      <c r="H2">
        <v>26.141500000000001</v>
      </c>
      <c r="I2">
        <v>548.97149999999999</v>
      </c>
      <c r="J2" s="3">
        <v>43470</v>
      </c>
      <c r="K2">
        <v>9.1</v>
      </c>
      <c r="L2" t="str" cm="1">
        <f t="array" ref="L2">_xlfn.IFS(Sales[[#This Row],[Rating]]&gt;8,"Super",Sales[[#This Row],[Rating]]&gt;=5,"Good",Sales[[#This Row],[Rating]]&lt;5,"Average")</f>
        <v>Super</v>
      </c>
      <c r="M2">
        <v>1</v>
      </c>
      <c r="N2" t="str">
        <f>TEXT(M2,"MMM")</f>
        <v>Jan</v>
      </c>
      <c r="O2">
        <f>YEAR(J2)</f>
        <v>2019</v>
      </c>
      <c r="Q2" t="s">
        <v>29</v>
      </c>
    </row>
    <row r="3" spans="1:17" x14ac:dyDescent="0.3">
      <c r="A3" t="s">
        <v>16</v>
      </c>
      <c r="B3" t="s">
        <v>17</v>
      </c>
      <c r="C3" t="s">
        <v>18</v>
      </c>
      <c r="D3" t="s">
        <v>14</v>
      </c>
      <c r="E3" t="s">
        <v>19</v>
      </c>
      <c r="F3">
        <v>15.28</v>
      </c>
      <c r="G3">
        <v>5</v>
      </c>
      <c r="H3">
        <v>3.82</v>
      </c>
      <c r="I3">
        <v>80.22</v>
      </c>
      <c r="J3" s="3">
        <v>43532</v>
      </c>
      <c r="K3">
        <v>9.6</v>
      </c>
      <c r="L3" t="str" cm="1">
        <f t="array" ref="L3">_xlfn.IFS(Sales[[#This Row],[Rating]]&gt;8,"Super",Sales[[#This Row],[Rating]]&gt;=5,"Good",Sales[[#This Row],[Rating]]&lt;5,"Average")</f>
        <v>Super</v>
      </c>
      <c r="M3">
        <v>3</v>
      </c>
      <c r="N3" t="s">
        <v>32</v>
      </c>
      <c r="O3">
        <f t="shared" ref="O3:O66" si="0">YEAR(J3)</f>
        <v>2019</v>
      </c>
      <c r="Q3">
        <f>SUM(I2:I500)</f>
        <v>164565.08250000005</v>
      </c>
    </row>
    <row r="4" spans="1:17" x14ac:dyDescent="0.3">
      <c r="A4" t="s">
        <v>11</v>
      </c>
      <c r="B4" t="s">
        <v>12</v>
      </c>
      <c r="C4" t="s">
        <v>18</v>
      </c>
      <c r="D4" t="s">
        <v>14</v>
      </c>
      <c r="E4" t="s">
        <v>20</v>
      </c>
      <c r="F4">
        <v>46.33</v>
      </c>
      <c r="G4">
        <v>7</v>
      </c>
      <c r="H4">
        <v>16.215499999999999</v>
      </c>
      <c r="I4">
        <v>340.52550000000002</v>
      </c>
      <c r="J4" s="3">
        <v>43527</v>
      </c>
      <c r="K4">
        <v>7.4</v>
      </c>
      <c r="L4" t="str" cm="1">
        <f t="array" ref="L4">_xlfn.IFS(Sales[[#This Row],[Rating]]&gt;8,"Super",Sales[[#This Row],[Rating]]&gt;=5,"Good",Sales[[#This Row],[Rating]]&lt;5,"Average")</f>
        <v>Good</v>
      </c>
      <c r="M4">
        <f t="shared" ref="M4:M66" si="1">MONTH(J4)</f>
        <v>3</v>
      </c>
      <c r="N4" t="str">
        <f t="shared" ref="N4:N67" si="2">TEXT(J3,"MMM")</f>
        <v>Mar</v>
      </c>
      <c r="O4">
        <f t="shared" si="0"/>
        <v>2019</v>
      </c>
    </row>
    <row r="5" spans="1:17" x14ac:dyDescent="0.3">
      <c r="A5" t="s">
        <v>11</v>
      </c>
      <c r="B5" t="s">
        <v>12</v>
      </c>
      <c r="C5" t="s">
        <v>13</v>
      </c>
      <c r="D5" t="s">
        <v>14</v>
      </c>
      <c r="E5" t="s">
        <v>15</v>
      </c>
      <c r="F5">
        <v>58.22</v>
      </c>
      <c r="G5">
        <v>8</v>
      </c>
      <c r="H5">
        <v>23.288</v>
      </c>
      <c r="I5">
        <v>489.048</v>
      </c>
      <c r="J5" s="3">
        <v>43492</v>
      </c>
      <c r="K5">
        <v>8.4</v>
      </c>
      <c r="L5" t="str" cm="1">
        <f t="array" ref="L5">_xlfn.IFS(Sales[[#This Row],[Rating]]&gt;8,"Super",Sales[[#This Row],[Rating]]&gt;=5,"Good",Sales[[#This Row],[Rating]]&lt;5,"Average")</f>
        <v>Super</v>
      </c>
      <c r="M5">
        <f t="shared" si="1"/>
        <v>1</v>
      </c>
      <c r="N5" t="str">
        <f t="shared" si="2"/>
        <v>Mar</v>
      </c>
      <c r="O5">
        <f t="shared" si="0"/>
        <v>2019</v>
      </c>
    </row>
    <row r="6" spans="1:17" x14ac:dyDescent="0.3">
      <c r="A6" t="s">
        <v>11</v>
      </c>
      <c r="B6" t="s">
        <v>12</v>
      </c>
      <c r="C6" t="s">
        <v>13</v>
      </c>
      <c r="D6" t="s">
        <v>14</v>
      </c>
      <c r="E6" t="s">
        <v>21</v>
      </c>
      <c r="F6">
        <v>86.31</v>
      </c>
      <c r="G6">
        <v>7</v>
      </c>
      <c r="H6">
        <v>30.208500000000001</v>
      </c>
      <c r="I6">
        <v>634.37850000000003</v>
      </c>
      <c r="J6" s="3">
        <v>43504</v>
      </c>
      <c r="K6">
        <v>5.3</v>
      </c>
      <c r="L6" t="str" cm="1">
        <f t="array" ref="L6">_xlfn.IFS(Sales[[#This Row],[Rating]]&gt;8,"Super",Sales[[#This Row],[Rating]]&gt;=5,"Good",Sales[[#This Row],[Rating]]&lt;5,"Average")</f>
        <v>Good</v>
      </c>
      <c r="M6">
        <f t="shared" si="1"/>
        <v>2</v>
      </c>
      <c r="N6" t="str">
        <f t="shared" si="2"/>
        <v>Jan</v>
      </c>
      <c r="O6">
        <f t="shared" si="0"/>
        <v>2019</v>
      </c>
      <c r="Q6" t="s">
        <v>30</v>
      </c>
    </row>
    <row r="7" spans="1:17" x14ac:dyDescent="0.3">
      <c r="A7" t="s">
        <v>16</v>
      </c>
      <c r="B7" t="s">
        <v>17</v>
      </c>
      <c r="C7" t="s">
        <v>13</v>
      </c>
      <c r="D7" t="s">
        <v>14</v>
      </c>
      <c r="E7" t="s">
        <v>19</v>
      </c>
      <c r="F7">
        <v>85.39</v>
      </c>
      <c r="G7">
        <v>7</v>
      </c>
      <c r="H7">
        <v>29.886500000000002</v>
      </c>
      <c r="I7">
        <v>627.61649999999997</v>
      </c>
      <c r="J7" s="3">
        <v>43549</v>
      </c>
      <c r="K7">
        <v>4.0999999999999996</v>
      </c>
      <c r="L7" t="str" cm="1">
        <f t="array" ref="L7">_xlfn.IFS(Sales[[#This Row],[Rating]]&gt;8,"Super",Sales[[#This Row],[Rating]]&gt;=5,"Good",Sales[[#This Row],[Rating]]&lt;5,"Average")</f>
        <v>Average</v>
      </c>
      <c r="M7">
        <f t="shared" si="1"/>
        <v>3</v>
      </c>
      <c r="N7" t="str">
        <f t="shared" si="2"/>
        <v>Feb</v>
      </c>
      <c r="O7">
        <f t="shared" si="0"/>
        <v>2019</v>
      </c>
      <c r="Q7">
        <f>AVERAGE(I2:I500)</f>
        <v>329.78974448897804</v>
      </c>
    </row>
    <row r="8" spans="1:17" x14ac:dyDescent="0.3">
      <c r="A8" t="s">
        <v>11</v>
      </c>
      <c r="B8" t="s">
        <v>12</v>
      </c>
      <c r="C8" t="s">
        <v>13</v>
      </c>
      <c r="D8" t="s">
        <v>14</v>
      </c>
      <c r="E8" t="s">
        <v>19</v>
      </c>
      <c r="F8">
        <v>68.84</v>
      </c>
      <c r="G8">
        <v>6</v>
      </c>
      <c r="H8">
        <v>20.652000000000001</v>
      </c>
      <c r="I8">
        <v>433.69200000000001</v>
      </c>
      <c r="J8" s="3">
        <v>43521</v>
      </c>
      <c r="K8">
        <v>5.8</v>
      </c>
      <c r="L8" t="str" cm="1">
        <f t="array" ref="L8">_xlfn.IFS(Sales[[#This Row],[Rating]]&gt;8,"Super",Sales[[#This Row],[Rating]]&gt;=5,"Good",Sales[[#This Row],[Rating]]&lt;5,"Average")</f>
        <v>Good</v>
      </c>
      <c r="M8">
        <f t="shared" si="1"/>
        <v>2</v>
      </c>
      <c r="N8" t="str">
        <f t="shared" si="2"/>
        <v>Mar</v>
      </c>
      <c r="O8">
        <f t="shared" si="0"/>
        <v>2019</v>
      </c>
    </row>
    <row r="9" spans="1:17" x14ac:dyDescent="0.3">
      <c r="A9" t="s">
        <v>16</v>
      </c>
      <c r="B9" t="s">
        <v>17</v>
      </c>
      <c r="C9" t="s">
        <v>13</v>
      </c>
      <c r="D9" t="s">
        <v>14</v>
      </c>
      <c r="E9" t="s">
        <v>20</v>
      </c>
      <c r="F9">
        <v>73.56</v>
      </c>
      <c r="G9">
        <v>10</v>
      </c>
      <c r="H9">
        <v>36.78</v>
      </c>
      <c r="I9">
        <v>772.38</v>
      </c>
      <c r="J9" s="3">
        <v>43520</v>
      </c>
      <c r="K9">
        <v>8</v>
      </c>
      <c r="L9" t="str" cm="1">
        <f t="array" ref="L9">_xlfn.IFS(Sales[[#This Row],[Rating]]&gt;8,"Super",Sales[[#This Row],[Rating]]&gt;=5,"Good",Sales[[#This Row],[Rating]]&lt;5,"Average")</f>
        <v>Good</v>
      </c>
      <c r="M9">
        <f t="shared" si="1"/>
        <v>2</v>
      </c>
      <c r="N9" t="str">
        <f t="shared" si="2"/>
        <v>Feb</v>
      </c>
      <c r="O9">
        <f t="shared" si="0"/>
        <v>2019</v>
      </c>
    </row>
    <row r="10" spans="1:17" x14ac:dyDescent="0.3">
      <c r="A10" t="s">
        <v>11</v>
      </c>
      <c r="B10" t="s">
        <v>12</v>
      </c>
      <c r="C10" t="s">
        <v>13</v>
      </c>
      <c r="D10" t="s">
        <v>14</v>
      </c>
      <c r="E10" t="s">
        <v>15</v>
      </c>
      <c r="F10">
        <v>36.26</v>
      </c>
      <c r="G10">
        <v>2</v>
      </c>
      <c r="H10">
        <v>3.6259999999999999</v>
      </c>
      <c r="I10">
        <v>76.146000000000001</v>
      </c>
      <c r="J10" s="3">
        <v>43475</v>
      </c>
      <c r="K10">
        <v>7.2</v>
      </c>
      <c r="L10" t="str" cm="1">
        <f t="array" ref="L10">_xlfn.IFS(Sales[[#This Row],[Rating]]&gt;8,"Super",Sales[[#This Row],[Rating]]&gt;=5,"Good",Sales[[#This Row],[Rating]]&lt;5,"Average")</f>
        <v>Good</v>
      </c>
      <c r="M10">
        <f t="shared" si="1"/>
        <v>1</v>
      </c>
      <c r="N10" t="str">
        <f t="shared" si="2"/>
        <v>Feb</v>
      </c>
      <c r="O10">
        <f t="shared" si="0"/>
        <v>2019</v>
      </c>
    </row>
    <row r="11" spans="1:17" x14ac:dyDescent="0.3">
      <c r="A11" t="s">
        <v>22</v>
      </c>
      <c r="B11" t="s">
        <v>23</v>
      </c>
      <c r="C11" t="s">
        <v>13</v>
      </c>
      <c r="D11" t="s">
        <v>14</v>
      </c>
      <c r="E11" t="s">
        <v>24</v>
      </c>
      <c r="F11">
        <v>54.84</v>
      </c>
      <c r="G11">
        <v>3</v>
      </c>
      <c r="H11">
        <v>8.2260000000000009</v>
      </c>
      <c r="I11">
        <v>172.74600000000001</v>
      </c>
      <c r="J11" s="3">
        <v>43516</v>
      </c>
      <c r="K11">
        <v>5.9</v>
      </c>
      <c r="L11" t="str" cm="1">
        <f t="array" ref="L11">_xlfn.IFS(Sales[[#This Row],[Rating]]&gt;8,"Super",Sales[[#This Row],[Rating]]&gt;=5,"Good",Sales[[#This Row],[Rating]]&lt;5,"Average")</f>
        <v>Good</v>
      </c>
      <c r="M11">
        <f t="shared" si="1"/>
        <v>2</v>
      </c>
      <c r="N11" t="str">
        <f t="shared" si="2"/>
        <v>Jan</v>
      </c>
      <c r="O11">
        <f t="shared" si="0"/>
        <v>2019</v>
      </c>
    </row>
    <row r="12" spans="1:17" x14ac:dyDescent="0.3">
      <c r="A12" t="s">
        <v>22</v>
      </c>
      <c r="B12" t="s">
        <v>23</v>
      </c>
      <c r="C12" t="s">
        <v>13</v>
      </c>
      <c r="D12" t="s">
        <v>14</v>
      </c>
      <c r="E12" t="s">
        <v>25</v>
      </c>
      <c r="F12">
        <v>14.48</v>
      </c>
      <c r="G12">
        <v>4</v>
      </c>
      <c r="H12">
        <v>2.8959999999999999</v>
      </c>
      <c r="I12">
        <v>60.816000000000003</v>
      </c>
      <c r="J12" s="3">
        <v>43502</v>
      </c>
      <c r="K12">
        <v>4.5</v>
      </c>
      <c r="L12" t="str" cm="1">
        <f t="array" ref="L12">_xlfn.IFS(Sales[[#This Row],[Rating]]&gt;8,"Super",Sales[[#This Row],[Rating]]&gt;=5,"Good",Sales[[#This Row],[Rating]]&lt;5,"Average")</f>
        <v>Average</v>
      </c>
      <c r="M12">
        <f t="shared" si="1"/>
        <v>2</v>
      </c>
      <c r="N12" t="str">
        <f t="shared" si="2"/>
        <v>Feb</v>
      </c>
      <c r="O12">
        <f t="shared" si="0"/>
        <v>2019</v>
      </c>
    </row>
    <row r="13" spans="1:17" x14ac:dyDescent="0.3">
      <c r="A13" t="s">
        <v>22</v>
      </c>
      <c r="B13" t="s">
        <v>23</v>
      </c>
      <c r="C13" t="s">
        <v>13</v>
      </c>
      <c r="D13" t="s">
        <v>14</v>
      </c>
      <c r="E13" t="s">
        <v>19</v>
      </c>
      <c r="F13">
        <v>25.51</v>
      </c>
      <c r="G13">
        <v>4</v>
      </c>
      <c r="H13">
        <v>5.1020000000000003</v>
      </c>
      <c r="I13">
        <v>107.142</v>
      </c>
      <c r="J13" s="3">
        <v>43533</v>
      </c>
      <c r="K13">
        <v>6.8</v>
      </c>
      <c r="L13" t="str" cm="1">
        <f t="array" ref="L13">_xlfn.IFS(Sales[[#This Row],[Rating]]&gt;8,"Super",Sales[[#This Row],[Rating]]&gt;=5,"Good",Sales[[#This Row],[Rating]]&lt;5,"Average")</f>
        <v>Good</v>
      </c>
      <c r="M13">
        <f t="shared" si="1"/>
        <v>3</v>
      </c>
      <c r="N13" t="str">
        <f t="shared" si="2"/>
        <v>Feb</v>
      </c>
      <c r="O13">
        <f t="shared" si="0"/>
        <v>2019</v>
      </c>
    </row>
    <row r="14" spans="1:17" x14ac:dyDescent="0.3">
      <c r="A14" t="s">
        <v>11</v>
      </c>
      <c r="B14" t="s">
        <v>12</v>
      </c>
      <c r="C14" t="s">
        <v>13</v>
      </c>
      <c r="D14" t="s">
        <v>14</v>
      </c>
      <c r="E14" t="s">
        <v>19</v>
      </c>
      <c r="F14">
        <v>46.95</v>
      </c>
      <c r="G14">
        <v>5</v>
      </c>
      <c r="H14">
        <v>11.737500000000001</v>
      </c>
      <c r="I14">
        <v>246.48750000000001</v>
      </c>
      <c r="J14" s="3">
        <v>43508</v>
      </c>
      <c r="K14">
        <v>7.1</v>
      </c>
      <c r="L14" t="str" cm="1">
        <f t="array" ref="L14">_xlfn.IFS(Sales[[#This Row],[Rating]]&gt;8,"Super",Sales[[#This Row],[Rating]]&gt;=5,"Good",Sales[[#This Row],[Rating]]&lt;5,"Average")</f>
        <v>Good</v>
      </c>
      <c r="M14">
        <f t="shared" si="1"/>
        <v>2</v>
      </c>
      <c r="N14" t="str">
        <f t="shared" si="2"/>
        <v>Mar</v>
      </c>
      <c r="O14">
        <f t="shared" si="0"/>
        <v>2019</v>
      </c>
    </row>
    <row r="15" spans="1:17" x14ac:dyDescent="0.3">
      <c r="A15" t="s">
        <v>11</v>
      </c>
      <c r="B15" t="s">
        <v>12</v>
      </c>
      <c r="C15" t="s">
        <v>13</v>
      </c>
      <c r="D15" t="s">
        <v>14</v>
      </c>
      <c r="E15" t="s">
        <v>24</v>
      </c>
      <c r="F15">
        <v>43.19</v>
      </c>
      <c r="G15">
        <v>10</v>
      </c>
      <c r="H15">
        <v>21.594999999999999</v>
      </c>
      <c r="I15">
        <v>453.495</v>
      </c>
      <c r="J15" s="3">
        <v>43503</v>
      </c>
      <c r="K15">
        <v>8.1999999999999993</v>
      </c>
      <c r="L15" t="str" cm="1">
        <f t="array" ref="L15">_xlfn.IFS(Sales[[#This Row],[Rating]]&gt;8,"Super",Sales[[#This Row],[Rating]]&gt;=5,"Good",Sales[[#This Row],[Rating]]&lt;5,"Average")</f>
        <v>Super</v>
      </c>
      <c r="M15">
        <f t="shared" si="1"/>
        <v>2</v>
      </c>
      <c r="N15" t="str">
        <f t="shared" si="2"/>
        <v>Feb</v>
      </c>
      <c r="O15">
        <f t="shared" si="0"/>
        <v>2019</v>
      </c>
    </row>
    <row r="16" spans="1:17" x14ac:dyDescent="0.3">
      <c r="A16" t="s">
        <v>11</v>
      </c>
      <c r="B16" t="s">
        <v>12</v>
      </c>
      <c r="C16" t="s">
        <v>13</v>
      </c>
      <c r="D16" t="s">
        <v>14</v>
      </c>
      <c r="E16" t="s">
        <v>15</v>
      </c>
      <c r="F16">
        <v>71.38</v>
      </c>
      <c r="G16">
        <v>10</v>
      </c>
      <c r="H16">
        <v>35.69</v>
      </c>
      <c r="I16">
        <v>749.49</v>
      </c>
      <c r="J16" s="3">
        <v>43553</v>
      </c>
      <c r="K16">
        <v>5.7</v>
      </c>
      <c r="L16" t="str" cm="1">
        <f t="array" ref="L16">_xlfn.IFS(Sales[[#This Row],[Rating]]&gt;8,"Super",Sales[[#This Row],[Rating]]&gt;=5,"Good",Sales[[#This Row],[Rating]]&lt;5,"Average")</f>
        <v>Good</v>
      </c>
      <c r="M16">
        <f t="shared" si="1"/>
        <v>3</v>
      </c>
      <c r="N16" t="str">
        <f t="shared" si="2"/>
        <v>Feb</v>
      </c>
      <c r="O16">
        <f t="shared" si="0"/>
        <v>2019</v>
      </c>
    </row>
    <row r="17" spans="1:18" x14ac:dyDescent="0.3">
      <c r="A17" t="s">
        <v>22</v>
      </c>
      <c r="B17" t="s">
        <v>23</v>
      </c>
      <c r="C17" t="s">
        <v>13</v>
      </c>
      <c r="D17" t="s">
        <v>14</v>
      </c>
      <c r="E17" t="s">
        <v>21</v>
      </c>
      <c r="F17">
        <v>93.72</v>
      </c>
      <c r="G17">
        <v>6</v>
      </c>
      <c r="H17">
        <v>28.116</v>
      </c>
      <c r="I17">
        <v>590.43600000000004</v>
      </c>
      <c r="J17" s="3">
        <v>43480</v>
      </c>
      <c r="K17">
        <v>4.5</v>
      </c>
      <c r="L17" t="str" cm="1">
        <f t="array" ref="L17">_xlfn.IFS(Sales[[#This Row],[Rating]]&gt;8,"Super",Sales[[#This Row],[Rating]]&gt;=5,"Good",Sales[[#This Row],[Rating]]&lt;5,"Average")</f>
        <v>Average</v>
      </c>
      <c r="M17">
        <f t="shared" si="1"/>
        <v>1</v>
      </c>
      <c r="N17" t="str">
        <f t="shared" si="2"/>
        <v>Mar</v>
      </c>
      <c r="O17">
        <f t="shared" si="0"/>
        <v>2019</v>
      </c>
    </row>
    <row r="18" spans="1:18" x14ac:dyDescent="0.3">
      <c r="A18" t="s">
        <v>11</v>
      </c>
      <c r="B18" t="s">
        <v>12</v>
      </c>
      <c r="C18" t="s">
        <v>13</v>
      </c>
      <c r="D18" t="s">
        <v>14</v>
      </c>
      <c r="E18" t="s">
        <v>15</v>
      </c>
      <c r="F18">
        <v>68.930000000000007</v>
      </c>
      <c r="G18">
        <v>7</v>
      </c>
      <c r="H18">
        <v>24.125499999999999</v>
      </c>
      <c r="I18">
        <v>506.63549999999998</v>
      </c>
      <c r="J18" s="3">
        <v>43535</v>
      </c>
      <c r="K18">
        <v>4.5999999999999996</v>
      </c>
      <c r="L18" t="str" cm="1">
        <f t="array" ref="L18">_xlfn.IFS(Sales[[#This Row],[Rating]]&gt;8,"Super",Sales[[#This Row],[Rating]]&gt;=5,"Good",Sales[[#This Row],[Rating]]&lt;5,"Average")</f>
        <v>Average</v>
      </c>
      <c r="M18">
        <f t="shared" si="1"/>
        <v>3</v>
      </c>
      <c r="N18" t="str">
        <f t="shared" si="2"/>
        <v>Jan</v>
      </c>
      <c r="O18">
        <f t="shared" si="0"/>
        <v>2019</v>
      </c>
    </row>
    <row r="19" spans="1:18" x14ac:dyDescent="0.3">
      <c r="A19" t="s">
        <v>11</v>
      </c>
      <c r="B19" t="s">
        <v>12</v>
      </c>
      <c r="C19" t="s">
        <v>13</v>
      </c>
      <c r="D19" t="s">
        <v>14</v>
      </c>
      <c r="E19" t="s">
        <v>21</v>
      </c>
      <c r="F19">
        <v>72.61</v>
      </c>
      <c r="G19">
        <v>6</v>
      </c>
      <c r="H19">
        <v>21.783000000000001</v>
      </c>
      <c r="I19">
        <v>457.44299999999998</v>
      </c>
      <c r="J19" s="3">
        <v>43466</v>
      </c>
      <c r="K19">
        <v>6.9</v>
      </c>
      <c r="L19" t="str" cm="1">
        <f t="array" ref="L19">_xlfn.IFS(Sales[[#This Row],[Rating]]&gt;8,"Super",Sales[[#This Row],[Rating]]&gt;=5,"Good",Sales[[#This Row],[Rating]]&lt;5,"Average")</f>
        <v>Good</v>
      </c>
      <c r="M19">
        <f t="shared" si="1"/>
        <v>1</v>
      </c>
      <c r="N19" t="str">
        <f t="shared" si="2"/>
        <v>Mar</v>
      </c>
      <c r="O19">
        <f t="shared" si="0"/>
        <v>2019</v>
      </c>
    </row>
    <row r="20" spans="1:18" x14ac:dyDescent="0.3">
      <c r="A20" t="s">
        <v>11</v>
      </c>
      <c r="B20" t="s">
        <v>12</v>
      </c>
      <c r="C20" t="s">
        <v>13</v>
      </c>
      <c r="D20" t="s">
        <v>14</v>
      </c>
      <c r="E20" t="s">
        <v>24</v>
      </c>
      <c r="F20">
        <v>54.67</v>
      </c>
      <c r="G20">
        <v>3</v>
      </c>
      <c r="H20">
        <v>8.2004999999999999</v>
      </c>
      <c r="I20">
        <v>172.2105</v>
      </c>
      <c r="J20" s="3">
        <v>43486</v>
      </c>
      <c r="K20">
        <v>8.6</v>
      </c>
      <c r="L20" t="str" cm="1">
        <f t="array" ref="L20">_xlfn.IFS(Sales[[#This Row],[Rating]]&gt;8,"Super",Sales[[#This Row],[Rating]]&gt;=5,"Good",Sales[[#This Row],[Rating]]&lt;5,"Average")</f>
        <v>Super</v>
      </c>
      <c r="M20">
        <f t="shared" si="1"/>
        <v>1</v>
      </c>
      <c r="N20" t="str">
        <f t="shared" si="2"/>
        <v>Jan</v>
      </c>
      <c r="O20">
        <f t="shared" si="0"/>
        <v>2019</v>
      </c>
      <c r="R20" t="str">
        <f>TEXT(M4,"")</f>
        <v/>
      </c>
    </row>
    <row r="21" spans="1:18" x14ac:dyDescent="0.3">
      <c r="A21" t="s">
        <v>22</v>
      </c>
      <c r="B21" t="s">
        <v>23</v>
      </c>
      <c r="C21" t="s">
        <v>13</v>
      </c>
      <c r="D21" t="s">
        <v>14</v>
      </c>
      <c r="E21" t="s">
        <v>20</v>
      </c>
      <c r="F21">
        <v>40.299999999999997</v>
      </c>
      <c r="G21">
        <v>2</v>
      </c>
      <c r="H21">
        <v>4.03</v>
      </c>
      <c r="I21">
        <v>84.63</v>
      </c>
      <c r="J21" s="3">
        <v>43535</v>
      </c>
      <c r="K21">
        <v>4.4000000000000004</v>
      </c>
      <c r="L21" t="str" cm="1">
        <f t="array" ref="L21">_xlfn.IFS(Sales[[#This Row],[Rating]]&gt;8,"Super",Sales[[#This Row],[Rating]]&gt;=5,"Good",Sales[[#This Row],[Rating]]&lt;5,"Average")</f>
        <v>Average</v>
      </c>
      <c r="M21">
        <f t="shared" si="1"/>
        <v>3</v>
      </c>
      <c r="N21" t="str">
        <f t="shared" si="2"/>
        <v>Jan</v>
      </c>
      <c r="O21">
        <f t="shared" si="0"/>
        <v>2019</v>
      </c>
    </row>
    <row r="22" spans="1:18" x14ac:dyDescent="0.3">
      <c r="A22" t="s">
        <v>16</v>
      </c>
      <c r="B22" t="s">
        <v>17</v>
      </c>
      <c r="C22" t="s">
        <v>13</v>
      </c>
      <c r="D22" t="s">
        <v>14</v>
      </c>
      <c r="E22" t="s">
        <v>19</v>
      </c>
      <c r="F22">
        <v>86.04</v>
      </c>
      <c r="G22">
        <v>5</v>
      </c>
      <c r="H22">
        <v>21.51</v>
      </c>
      <c r="I22">
        <v>451.71</v>
      </c>
      <c r="J22" s="3">
        <v>43521</v>
      </c>
      <c r="K22">
        <v>4.8</v>
      </c>
      <c r="L22" t="str" cm="1">
        <f t="array" ref="L22">_xlfn.IFS(Sales[[#This Row],[Rating]]&gt;8,"Super",Sales[[#This Row],[Rating]]&gt;=5,"Good",Sales[[#This Row],[Rating]]&lt;5,"Average")</f>
        <v>Average</v>
      </c>
      <c r="M22">
        <f t="shared" si="1"/>
        <v>2</v>
      </c>
      <c r="N22" t="str">
        <f t="shared" si="2"/>
        <v>Mar</v>
      </c>
      <c r="O22">
        <f t="shared" si="0"/>
        <v>2019</v>
      </c>
    </row>
    <row r="23" spans="1:18" x14ac:dyDescent="0.3">
      <c r="A23" t="s">
        <v>22</v>
      </c>
      <c r="B23" t="s">
        <v>23</v>
      </c>
      <c r="C23" t="s">
        <v>13</v>
      </c>
      <c r="D23" t="s">
        <v>14</v>
      </c>
      <c r="E23" t="s">
        <v>15</v>
      </c>
      <c r="F23">
        <v>87.98</v>
      </c>
      <c r="G23">
        <v>3</v>
      </c>
      <c r="H23">
        <v>13.196999999999999</v>
      </c>
      <c r="I23">
        <v>277.137</v>
      </c>
      <c r="J23" s="3">
        <v>43529</v>
      </c>
      <c r="K23">
        <v>5.0999999999999996</v>
      </c>
      <c r="L23" t="str" cm="1">
        <f t="array" ref="L23">_xlfn.IFS(Sales[[#This Row],[Rating]]&gt;8,"Super",Sales[[#This Row],[Rating]]&gt;=5,"Good",Sales[[#This Row],[Rating]]&lt;5,"Average")</f>
        <v>Good</v>
      </c>
      <c r="M23">
        <f t="shared" si="1"/>
        <v>3</v>
      </c>
      <c r="N23" t="str">
        <f t="shared" si="2"/>
        <v>Feb</v>
      </c>
      <c r="O23">
        <f t="shared" si="0"/>
        <v>2019</v>
      </c>
    </row>
    <row r="24" spans="1:18" x14ac:dyDescent="0.3">
      <c r="A24" t="s">
        <v>22</v>
      </c>
      <c r="B24" t="s">
        <v>23</v>
      </c>
      <c r="C24" t="s">
        <v>13</v>
      </c>
      <c r="D24" t="s">
        <v>14</v>
      </c>
      <c r="E24" t="s">
        <v>20</v>
      </c>
      <c r="F24">
        <v>33.200000000000003</v>
      </c>
      <c r="G24">
        <v>2</v>
      </c>
      <c r="H24">
        <v>3.32</v>
      </c>
      <c r="I24">
        <v>69.72</v>
      </c>
      <c r="J24" s="3">
        <v>43539</v>
      </c>
      <c r="K24">
        <v>4.4000000000000004</v>
      </c>
      <c r="L24" t="str" cm="1">
        <f t="array" ref="L24">_xlfn.IFS(Sales[[#This Row],[Rating]]&gt;8,"Super",Sales[[#This Row],[Rating]]&gt;=5,"Good",Sales[[#This Row],[Rating]]&lt;5,"Average")</f>
        <v>Average</v>
      </c>
      <c r="M24">
        <f t="shared" si="1"/>
        <v>3</v>
      </c>
      <c r="N24" t="str">
        <f t="shared" si="2"/>
        <v>Mar</v>
      </c>
      <c r="O24">
        <f t="shared" si="0"/>
        <v>2019</v>
      </c>
    </row>
    <row r="25" spans="1:18" x14ac:dyDescent="0.3">
      <c r="A25" t="s">
        <v>11</v>
      </c>
      <c r="B25" t="s">
        <v>12</v>
      </c>
      <c r="C25" t="s">
        <v>13</v>
      </c>
      <c r="D25" t="s">
        <v>14</v>
      </c>
      <c r="E25" t="s">
        <v>19</v>
      </c>
      <c r="F25">
        <v>34.56</v>
      </c>
      <c r="G25">
        <v>5</v>
      </c>
      <c r="H25">
        <v>8.64</v>
      </c>
      <c r="I25">
        <v>181.44</v>
      </c>
      <c r="J25" s="3">
        <v>43513</v>
      </c>
      <c r="K25">
        <v>9.9</v>
      </c>
      <c r="L25" t="str" cm="1">
        <f t="array" ref="L25">_xlfn.IFS(Sales[[#This Row],[Rating]]&gt;8,"Super",Sales[[#This Row],[Rating]]&gt;=5,"Good",Sales[[#This Row],[Rating]]&lt;5,"Average")</f>
        <v>Super</v>
      </c>
      <c r="M25">
        <f t="shared" si="1"/>
        <v>2</v>
      </c>
      <c r="N25" t="str">
        <f t="shared" si="2"/>
        <v>Mar</v>
      </c>
      <c r="O25">
        <f t="shared" si="0"/>
        <v>2019</v>
      </c>
    </row>
    <row r="26" spans="1:18" x14ac:dyDescent="0.3">
      <c r="A26" t="s">
        <v>11</v>
      </c>
      <c r="B26" t="s">
        <v>12</v>
      </c>
      <c r="C26" t="s">
        <v>13</v>
      </c>
      <c r="D26" t="s">
        <v>14</v>
      </c>
      <c r="E26" t="s">
        <v>21</v>
      </c>
      <c r="F26">
        <v>88.63</v>
      </c>
      <c r="G26">
        <v>3</v>
      </c>
      <c r="H26">
        <v>13.294499999999999</v>
      </c>
      <c r="I26">
        <v>279.18450000000001</v>
      </c>
      <c r="J26" s="3">
        <v>43526</v>
      </c>
      <c r="K26">
        <v>6</v>
      </c>
      <c r="L26" t="str" cm="1">
        <f t="array" ref="L26">_xlfn.IFS(Sales[[#This Row],[Rating]]&gt;8,"Super",Sales[[#This Row],[Rating]]&gt;=5,"Good",Sales[[#This Row],[Rating]]&lt;5,"Average")</f>
        <v>Good</v>
      </c>
      <c r="M26">
        <f t="shared" si="1"/>
        <v>3</v>
      </c>
      <c r="N26" t="str">
        <f t="shared" si="2"/>
        <v>Feb</v>
      </c>
      <c r="O26">
        <f t="shared" si="0"/>
        <v>2019</v>
      </c>
    </row>
    <row r="27" spans="1:18" x14ac:dyDescent="0.3">
      <c r="A27" t="s">
        <v>11</v>
      </c>
      <c r="B27" t="s">
        <v>12</v>
      </c>
      <c r="C27" t="s">
        <v>13</v>
      </c>
      <c r="D27" t="s">
        <v>14</v>
      </c>
      <c r="E27" t="s">
        <v>20</v>
      </c>
      <c r="F27">
        <v>52.59</v>
      </c>
      <c r="G27">
        <v>8</v>
      </c>
      <c r="H27">
        <v>21.036000000000001</v>
      </c>
      <c r="I27">
        <v>441.75599999999997</v>
      </c>
      <c r="J27" s="3">
        <v>43546</v>
      </c>
      <c r="K27">
        <v>8.5</v>
      </c>
      <c r="L27" t="str" cm="1">
        <f t="array" ref="L27">_xlfn.IFS(Sales[[#This Row],[Rating]]&gt;8,"Super",Sales[[#This Row],[Rating]]&gt;=5,"Good",Sales[[#This Row],[Rating]]&lt;5,"Average")</f>
        <v>Super</v>
      </c>
      <c r="M27">
        <f t="shared" si="1"/>
        <v>3</v>
      </c>
      <c r="N27" t="str">
        <f t="shared" si="2"/>
        <v>Mar</v>
      </c>
      <c r="O27">
        <f t="shared" si="0"/>
        <v>2019</v>
      </c>
    </row>
    <row r="28" spans="1:18" x14ac:dyDescent="0.3">
      <c r="A28" t="s">
        <v>22</v>
      </c>
      <c r="B28" t="s">
        <v>23</v>
      </c>
      <c r="C28" t="s">
        <v>13</v>
      </c>
      <c r="D28" t="s">
        <v>14</v>
      </c>
      <c r="E28" t="s">
        <v>25</v>
      </c>
      <c r="F28">
        <v>33.520000000000003</v>
      </c>
      <c r="G28">
        <v>1</v>
      </c>
      <c r="H28">
        <v>1.6759999999999999</v>
      </c>
      <c r="I28">
        <v>35.195999999999998</v>
      </c>
      <c r="J28" s="3">
        <v>43504</v>
      </c>
      <c r="K28">
        <v>6.7</v>
      </c>
      <c r="L28" t="str" cm="1">
        <f t="array" ref="L28">_xlfn.IFS(Sales[[#This Row],[Rating]]&gt;8,"Super",Sales[[#This Row],[Rating]]&gt;=5,"Good",Sales[[#This Row],[Rating]]&lt;5,"Average")</f>
        <v>Good</v>
      </c>
      <c r="M28">
        <f t="shared" si="1"/>
        <v>2</v>
      </c>
      <c r="N28" t="str">
        <f t="shared" si="2"/>
        <v>Mar</v>
      </c>
      <c r="O28">
        <f t="shared" si="0"/>
        <v>2019</v>
      </c>
    </row>
    <row r="29" spans="1:18" x14ac:dyDescent="0.3">
      <c r="A29" t="s">
        <v>11</v>
      </c>
      <c r="B29" t="s">
        <v>12</v>
      </c>
      <c r="C29" t="s">
        <v>13</v>
      </c>
      <c r="D29" t="s">
        <v>14</v>
      </c>
      <c r="E29" t="s">
        <v>25</v>
      </c>
      <c r="F29">
        <v>87.67</v>
      </c>
      <c r="G29">
        <v>2</v>
      </c>
      <c r="H29">
        <v>8.7669999999999995</v>
      </c>
      <c r="I29">
        <v>184.107</v>
      </c>
      <c r="J29" s="3">
        <v>43534</v>
      </c>
      <c r="K29">
        <v>7.7</v>
      </c>
      <c r="L29" t="str" cm="1">
        <f t="array" ref="L29">_xlfn.IFS(Sales[[#This Row],[Rating]]&gt;8,"Super",Sales[[#This Row],[Rating]]&gt;=5,"Good",Sales[[#This Row],[Rating]]&lt;5,"Average")</f>
        <v>Good</v>
      </c>
      <c r="M29">
        <f t="shared" si="1"/>
        <v>3</v>
      </c>
      <c r="N29" t="str">
        <f t="shared" si="2"/>
        <v>Feb</v>
      </c>
      <c r="O29">
        <f t="shared" si="0"/>
        <v>2019</v>
      </c>
    </row>
    <row r="30" spans="1:18" x14ac:dyDescent="0.3">
      <c r="A30" t="s">
        <v>22</v>
      </c>
      <c r="B30" t="s">
        <v>23</v>
      </c>
      <c r="C30" t="s">
        <v>13</v>
      </c>
      <c r="D30" t="s">
        <v>14</v>
      </c>
      <c r="E30" t="s">
        <v>24</v>
      </c>
      <c r="F30">
        <v>88.36</v>
      </c>
      <c r="G30">
        <v>5</v>
      </c>
      <c r="H30">
        <v>22.09</v>
      </c>
      <c r="I30">
        <v>463.89</v>
      </c>
      <c r="J30" s="3">
        <v>43490</v>
      </c>
      <c r="K30">
        <v>9.6</v>
      </c>
      <c r="L30" t="str" cm="1">
        <f t="array" ref="L30">_xlfn.IFS(Sales[[#This Row],[Rating]]&gt;8,"Super",Sales[[#This Row],[Rating]]&gt;=5,"Good",Sales[[#This Row],[Rating]]&lt;5,"Average")</f>
        <v>Super</v>
      </c>
      <c r="M30">
        <f t="shared" si="1"/>
        <v>1</v>
      </c>
      <c r="N30" t="str">
        <f t="shared" si="2"/>
        <v>Mar</v>
      </c>
      <c r="O30">
        <f t="shared" si="0"/>
        <v>2019</v>
      </c>
    </row>
    <row r="31" spans="1:18" x14ac:dyDescent="0.3">
      <c r="A31" t="s">
        <v>11</v>
      </c>
      <c r="B31" t="s">
        <v>12</v>
      </c>
      <c r="C31" t="s">
        <v>13</v>
      </c>
      <c r="D31" t="s">
        <v>14</v>
      </c>
      <c r="E31" t="s">
        <v>15</v>
      </c>
      <c r="F31">
        <v>24.89</v>
      </c>
      <c r="G31">
        <v>9</v>
      </c>
      <c r="H31">
        <v>11.2005</v>
      </c>
      <c r="I31">
        <v>235.2105</v>
      </c>
      <c r="J31" s="3">
        <v>43539</v>
      </c>
      <c r="K31">
        <v>7.4</v>
      </c>
      <c r="L31" t="str" cm="1">
        <f t="array" ref="L31">_xlfn.IFS(Sales[[#This Row],[Rating]]&gt;8,"Super",Sales[[#This Row],[Rating]]&gt;=5,"Good",Sales[[#This Row],[Rating]]&lt;5,"Average")</f>
        <v>Good</v>
      </c>
      <c r="M31">
        <f t="shared" si="1"/>
        <v>3</v>
      </c>
      <c r="N31" t="str">
        <f t="shared" si="2"/>
        <v>Jan</v>
      </c>
      <c r="O31">
        <f t="shared" si="0"/>
        <v>2019</v>
      </c>
    </row>
    <row r="32" spans="1:18" x14ac:dyDescent="0.3">
      <c r="A32" t="s">
        <v>22</v>
      </c>
      <c r="B32" t="s">
        <v>23</v>
      </c>
      <c r="C32" t="s">
        <v>13</v>
      </c>
      <c r="D32" t="s">
        <v>14</v>
      </c>
      <c r="E32" t="s">
        <v>25</v>
      </c>
      <c r="F32">
        <v>94.13</v>
      </c>
      <c r="G32">
        <v>5</v>
      </c>
      <c r="H32">
        <v>23.532499999999999</v>
      </c>
      <c r="I32">
        <v>494.1825</v>
      </c>
      <c r="J32" s="3">
        <v>43521</v>
      </c>
      <c r="K32">
        <v>4.8</v>
      </c>
      <c r="L32" t="str" cm="1">
        <f t="array" ref="L32">_xlfn.IFS(Sales[[#This Row],[Rating]]&gt;8,"Super",Sales[[#This Row],[Rating]]&gt;=5,"Good",Sales[[#This Row],[Rating]]&lt;5,"Average")</f>
        <v>Average</v>
      </c>
      <c r="M32">
        <f t="shared" si="1"/>
        <v>2</v>
      </c>
      <c r="N32" t="str">
        <f t="shared" si="2"/>
        <v>Mar</v>
      </c>
      <c r="O32">
        <f t="shared" si="0"/>
        <v>2019</v>
      </c>
    </row>
    <row r="33" spans="1:15" x14ac:dyDescent="0.3">
      <c r="A33" t="s">
        <v>22</v>
      </c>
      <c r="B33" t="s">
        <v>23</v>
      </c>
      <c r="C33" t="s">
        <v>13</v>
      </c>
      <c r="D33" t="s">
        <v>14</v>
      </c>
      <c r="E33" t="s">
        <v>21</v>
      </c>
      <c r="F33">
        <v>78.069999999999993</v>
      </c>
      <c r="G33">
        <v>9</v>
      </c>
      <c r="H33">
        <v>35.131500000000003</v>
      </c>
      <c r="I33">
        <v>737.76149999999996</v>
      </c>
      <c r="J33" s="3">
        <v>43493</v>
      </c>
      <c r="K33">
        <v>4.5</v>
      </c>
      <c r="L33" t="str" cm="1">
        <f t="array" ref="L33">_xlfn.IFS(Sales[[#This Row],[Rating]]&gt;8,"Super",Sales[[#This Row],[Rating]]&gt;=5,"Good",Sales[[#This Row],[Rating]]&lt;5,"Average")</f>
        <v>Average</v>
      </c>
      <c r="M33">
        <f t="shared" si="1"/>
        <v>1</v>
      </c>
      <c r="N33" t="str">
        <f t="shared" si="2"/>
        <v>Feb</v>
      </c>
      <c r="O33">
        <f t="shared" si="0"/>
        <v>2019</v>
      </c>
    </row>
    <row r="34" spans="1:15" x14ac:dyDescent="0.3">
      <c r="A34" t="s">
        <v>22</v>
      </c>
      <c r="B34" t="s">
        <v>23</v>
      </c>
      <c r="C34" t="s">
        <v>13</v>
      </c>
      <c r="D34" t="s">
        <v>14</v>
      </c>
      <c r="E34" t="s">
        <v>21</v>
      </c>
      <c r="F34">
        <v>83.78</v>
      </c>
      <c r="G34">
        <v>8</v>
      </c>
      <c r="H34">
        <v>33.512</v>
      </c>
      <c r="I34">
        <v>703.75199999999995</v>
      </c>
      <c r="J34" s="3">
        <v>43475</v>
      </c>
      <c r="K34">
        <v>5.0999999999999996</v>
      </c>
      <c r="L34" t="str" cm="1">
        <f t="array" ref="L34">_xlfn.IFS(Sales[[#This Row],[Rating]]&gt;8,"Super",Sales[[#This Row],[Rating]]&gt;=5,"Good",Sales[[#This Row],[Rating]]&lt;5,"Average")</f>
        <v>Good</v>
      </c>
      <c r="M34">
        <f t="shared" si="1"/>
        <v>1</v>
      </c>
      <c r="N34" t="str">
        <f t="shared" si="2"/>
        <v>Jan</v>
      </c>
      <c r="O34">
        <f t="shared" si="0"/>
        <v>2019</v>
      </c>
    </row>
    <row r="35" spans="1:15" x14ac:dyDescent="0.3">
      <c r="A35" t="s">
        <v>11</v>
      </c>
      <c r="B35" t="s">
        <v>12</v>
      </c>
      <c r="C35" t="s">
        <v>13</v>
      </c>
      <c r="D35" t="s">
        <v>14</v>
      </c>
      <c r="E35" t="s">
        <v>15</v>
      </c>
      <c r="F35">
        <v>96.58</v>
      </c>
      <c r="G35">
        <v>2</v>
      </c>
      <c r="H35">
        <v>9.6579999999999995</v>
      </c>
      <c r="I35">
        <v>202.81800000000001</v>
      </c>
      <c r="J35" s="3">
        <v>43539</v>
      </c>
      <c r="K35">
        <v>5.0999999999999996</v>
      </c>
      <c r="L35" t="str" cm="1">
        <f t="array" ref="L35">_xlfn.IFS(Sales[[#This Row],[Rating]]&gt;8,"Super",Sales[[#This Row],[Rating]]&gt;=5,"Good",Sales[[#This Row],[Rating]]&lt;5,"Average")</f>
        <v>Good</v>
      </c>
      <c r="M35">
        <f t="shared" si="1"/>
        <v>3</v>
      </c>
      <c r="N35" t="str">
        <f t="shared" si="2"/>
        <v>Jan</v>
      </c>
      <c r="O35">
        <f t="shared" si="0"/>
        <v>2019</v>
      </c>
    </row>
    <row r="36" spans="1:15" x14ac:dyDescent="0.3">
      <c r="A36" t="s">
        <v>16</v>
      </c>
      <c r="B36" t="s">
        <v>17</v>
      </c>
      <c r="C36" t="s">
        <v>13</v>
      </c>
      <c r="D36" t="s">
        <v>14</v>
      </c>
      <c r="E36" t="s">
        <v>24</v>
      </c>
      <c r="F36">
        <v>99.42</v>
      </c>
      <c r="G36">
        <v>4</v>
      </c>
      <c r="H36">
        <v>19.884</v>
      </c>
      <c r="I36">
        <v>417.56400000000002</v>
      </c>
      <c r="J36" s="3">
        <v>43502</v>
      </c>
      <c r="K36">
        <v>7.5</v>
      </c>
      <c r="L36" t="str" cm="1">
        <f t="array" ref="L36">_xlfn.IFS(Sales[[#This Row],[Rating]]&gt;8,"Super",Sales[[#This Row],[Rating]]&gt;=5,"Good",Sales[[#This Row],[Rating]]&lt;5,"Average")</f>
        <v>Good</v>
      </c>
      <c r="M36">
        <f t="shared" si="1"/>
        <v>2</v>
      </c>
      <c r="N36" t="str">
        <f t="shared" si="2"/>
        <v>Mar</v>
      </c>
      <c r="O36">
        <f t="shared" si="0"/>
        <v>2019</v>
      </c>
    </row>
    <row r="37" spans="1:15" x14ac:dyDescent="0.3">
      <c r="A37" t="s">
        <v>16</v>
      </c>
      <c r="B37" t="s">
        <v>17</v>
      </c>
      <c r="C37" t="s">
        <v>13</v>
      </c>
      <c r="D37" t="s">
        <v>14</v>
      </c>
      <c r="E37" t="s">
        <v>21</v>
      </c>
      <c r="F37">
        <v>68.12</v>
      </c>
      <c r="G37">
        <v>1</v>
      </c>
      <c r="H37">
        <v>3.4060000000000001</v>
      </c>
      <c r="I37">
        <v>71.525999999999996</v>
      </c>
      <c r="J37" s="3">
        <v>43472</v>
      </c>
      <c r="K37">
        <v>6.8</v>
      </c>
      <c r="L37" t="str" cm="1">
        <f t="array" ref="L37">_xlfn.IFS(Sales[[#This Row],[Rating]]&gt;8,"Super",Sales[[#This Row],[Rating]]&gt;=5,"Good",Sales[[#This Row],[Rating]]&lt;5,"Average")</f>
        <v>Good</v>
      </c>
      <c r="M37">
        <f t="shared" si="1"/>
        <v>1</v>
      </c>
      <c r="N37" t="str">
        <f t="shared" si="2"/>
        <v>Feb</v>
      </c>
      <c r="O37">
        <f t="shared" si="0"/>
        <v>2019</v>
      </c>
    </row>
    <row r="38" spans="1:15" x14ac:dyDescent="0.3">
      <c r="A38" t="s">
        <v>11</v>
      </c>
      <c r="B38" t="s">
        <v>12</v>
      </c>
      <c r="C38" t="s">
        <v>13</v>
      </c>
      <c r="D38" t="s">
        <v>14</v>
      </c>
      <c r="E38" t="s">
        <v>21</v>
      </c>
      <c r="F38">
        <v>62.62</v>
      </c>
      <c r="G38">
        <v>5</v>
      </c>
      <c r="H38">
        <v>15.654999999999999</v>
      </c>
      <c r="I38">
        <v>328.755</v>
      </c>
      <c r="J38" s="3">
        <v>43534</v>
      </c>
      <c r="K38">
        <v>7</v>
      </c>
      <c r="L38" t="str" cm="1">
        <f t="array" ref="L38">_xlfn.IFS(Sales[[#This Row],[Rating]]&gt;8,"Super",Sales[[#This Row],[Rating]]&gt;=5,"Good",Sales[[#This Row],[Rating]]&lt;5,"Average")</f>
        <v>Good</v>
      </c>
      <c r="M38">
        <f t="shared" si="1"/>
        <v>3</v>
      </c>
      <c r="N38" t="str">
        <f t="shared" si="2"/>
        <v>Jan</v>
      </c>
      <c r="O38">
        <f t="shared" si="0"/>
        <v>2019</v>
      </c>
    </row>
    <row r="39" spans="1:15" x14ac:dyDescent="0.3">
      <c r="A39" t="s">
        <v>11</v>
      </c>
      <c r="B39" t="s">
        <v>12</v>
      </c>
      <c r="C39" t="s">
        <v>13</v>
      </c>
      <c r="D39" t="s">
        <v>14</v>
      </c>
      <c r="E39" t="s">
        <v>19</v>
      </c>
      <c r="F39">
        <v>60.88</v>
      </c>
      <c r="G39">
        <v>9</v>
      </c>
      <c r="H39">
        <v>27.396000000000001</v>
      </c>
      <c r="I39">
        <v>575.31600000000003</v>
      </c>
      <c r="J39" s="3">
        <v>43480</v>
      </c>
      <c r="K39">
        <v>4.7</v>
      </c>
      <c r="L39" t="str" cm="1">
        <f t="array" ref="L39">_xlfn.IFS(Sales[[#This Row],[Rating]]&gt;8,"Super",Sales[[#This Row],[Rating]]&gt;=5,"Good",Sales[[#This Row],[Rating]]&lt;5,"Average")</f>
        <v>Average</v>
      </c>
      <c r="M39">
        <f t="shared" si="1"/>
        <v>1</v>
      </c>
      <c r="N39" t="str">
        <f t="shared" si="2"/>
        <v>Mar</v>
      </c>
      <c r="O39">
        <f t="shared" si="0"/>
        <v>2019</v>
      </c>
    </row>
    <row r="40" spans="1:15" x14ac:dyDescent="0.3">
      <c r="A40" t="s">
        <v>16</v>
      </c>
      <c r="B40" t="s">
        <v>17</v>
      </c>
      <c r="C40" t="s">
        <v>13</v>
      </c>
      <c r="D40" t="s">
        <v>14</v>
      </c>
      <c r="E40" t="s">
        <v>15</v>
      </c>
      <c r="F40">
        <v>54.92</v>
      </c>
      <c r="G40">
        <v>8</v>
      </c>
      <c r="H40">
        <v>21.968</v>
      </c>
      <c r="I40">
        <v>461.32799999999997</v>
      </c>
      <c r="J40" s="3">
        <v>43547</v>
      </c>
      <c r="K40">
        <v>7.6</v>
      </c>
      <c r="L40" t="str" cm="1">
        <f t="array" ref="L40">_xlfn.IFS(Sales[[#This Row],[Rating]]&gt;8,"Super",Sales[[#This Row],[Rating]]&gt;=5,"Good",Sales[[#This Row],[Rating]]&lt;5,"Average")</f>
        <v>Good</v>
      </c>
      <c r="M40">
        <f t="shared" si="1"/>
        <v>3</v>
      </c>
      <c r="N40" t="str">
        <f t="shared" si="2"/>
        <v>Jan</v>
      </c>
      <c r="O40">
        <f t="shared" si="0"/>
        <v>2019</v>
      </c>
    </row>
    <row r="41" spans="1:15" x14ac:dyDescent="0.3">
      <c r="A41" t="s">
        <v>22</v>
      </c>
      <c r="B41" t="s">
        <v>23</v>
      </c>
      <c r="C41" t="s">
        <v>13</v>
      </c>
      <c r="D41" t="s">
        <v>14</v>
      </c>
      <c r="E41" t="s">
        <v>20</v>
      </c>
      <c r="F41">
        <v>30.12</v>
      </c>
      <c r="G41">
        <v>8</v>
      </c>
      <c r="H41">
        <v>12.048</v>
      </c>
      <c r="I41">
        <v>253.00800000000001</v>
      </c>
      <c r="J41" s="3">
        <v>43527</v>
      </c>
      <c r="K41">
        <v>7.7</v>
      </c>
      <c r="L41" t="str" cm="1">
        <f t="array" ref="L41">_xlfn.IFS(Sales[[#This Row],[Rating]]&gt;8,"Super",Sales[[#This Row],[Rating]]&gt;=5,"Good",Sales[[#This Row],[Rating]]&lt;5,"Average")</f>
        <v>Good</v>
      </c>
      <c r="M41">
        <f t="shared" si="1"/>
        <v>3</v>
      </c>
      <c r="N41" t="str">
        <f t="shared" si="2"/>
        <v>Mar</v>
      </c>
      <c r="O41">
        <f t="shared" si="0"/>
        <v>2019</v>
      </c>
    </row>
    <row r="42" spans="1:15" x14ac:dyDescent="0.3">
      <c r="A42" t="s">
        <v>22</v>
      </c>
      <c r="B42" t="s">
        <v>23</v>
      </c>
      <c r="C42" t="s">
        <v>13</v>
      </c>
      <c r="D42" t="s">
        <v>14</v>
      </c>
      <c r="E42" t="s">
        <v>20</v>
      </c>
      <c r="F42">
        <v>86.72</v>
      </c>
      <c r="G42">
        <v>1</v>
      </c>
      <c r="H42">
        <v>4.3360000000000003</v>
      </c>
      <c r="I42">
        <v>91.055999999999997</v>
      </c>
      <c r="J42" s="3">
        <v>43482</v>
      </c>
      <c r="K42">
        <v>7.9</v>
      </c>
      <c r="L42" t="str" cm="1">
        <f t="array" ref="L42">_xlfn.IFS(Sales[[#This Row],[Rating]]&gt;8,"Super",Sales[[#This Row],[Rating]]&gt;=5,"Good",Sales[[#This Row],[Rating]]&lt;5,"Average")</f>
        <v>Good</v>
      </c>
      <c r="M42">
        <f t="shared" si="1"/>
        <v>1</v>
      </c>
      <c r="N42" t="str">
        <f t="shared" si="2"/>
        <v>Mar</v>
      </c>
      <c r="O42">
        <f t="shared" si="0"/>
        <v>2019</v>
      </c>
    </row>
    <row r="43" spans="1:15" x14ac:dyDescent="0.3">
      <c r="A43" t="s">
        <v>16</v>
      </c>
      <c r="B43" t="s">
        <v>17</v>
      </c>
      <c r="C43" t="s">
        <v>13</v>
      </c>
      <c r="D43" t="s">
        <v>14</v>
      </c>
      <c r="E43" t="s">
        <v>20</v>
      </c>
      <c r="F43">
        <v>56.11</v>
      </c>
      <c r="G43">
        <v>2</v>
      </c>
      <c r="H43">
        <v>5.6109999999999998</v>
      </c>
      <c r="I43">
        <v>117.831</v>
      </c>
      <c r="J43" s="3">
        <v>43498</v>
      </c>
      <c r="K43">
        <v>6.3</v>
      </c>
      <c r="L43" t="str" cm="1">
        <f t="array" ref="L43">_xlfn.IFS(Sales[[#This Row],[Rating]]&gt;8,"Super",Sales[[#This Row],[Rating]]&gt;=5,"Good",Sales[[#This Row],[Rating]]&lt;5,"Average")</f>
        <v>Good</v>
      </c>
      <c r="M43">
        <f t="shared" si="1"/>
        <v>2</v>
      </c>
      <c r="N43" t="str">
        <f t="shared" si="2"/>
        <v>Jan</v>
      </c>
      <c r="O43">
        <f t="shared" si="0"/>
        <v>2019</v>
      </c>
    </row>
    <row r="44" spans="1:15" x14ac:dyDescent="0.3">
      <c r="A44" t="s">
        <v>22</v>
      </c>
      <c r="B44" t="s">
        <v>23</v>
      </c>
      <c r="C44" t="s">
        <v>13</v>
      </c>
      <c r="D44" t="s">
        <v>14</v>
      </c>
      <c r="E44" t="s">
        <v>21</v>
      </c>
      <c r="F44">
        <v>69.12</v>
      </c>
      <c r="G44">
        <v>6</v>
      </c>
      <c r="H44">
        <v>20.736000000000001</v>
      </c>
      <c r="I44">
        <v>435.45600000000002</v>
      </c>
      <c r="J44" s="3">
        <v>43504</v>
      </c>
      <c r="K44">
        <v>5.6</v>
      </c>
      <c r="L44" t="str" cm="1">
        <f t="array" ref="L44">_xlfn.IFS(Sales[[#This Row],[Rating]]&gt;8,"Super",Sales[[#This Row],[Rating]]&gt;=5,"Good",Sales[[#This Row],[Rating]]&lt;5,"Average")</f>
        <v>Good</v>
      </c>
      <c r="M44">
        <f t="shared" si="1"/>
        <v>2</v>
      </c>
      <c r="N44" t="str">
        <f t="shared" si="2"/>
        <v>Feb</v>
      </c>
      <c r="O44">
        <f t="shared" si="0"/>
        <v>2019</v>
      </c>
    </row>
    <row r="45" spans="1:15" x14ac:dyDescent="0.3">
      <c r="A45" t="s">
        <v>16</v>
      </c>
      <c r="B45" t="s">
        <v>17</v>
      </c>
      <c r="C45" t="s">
        <v>13</v>
      </c>
      <c r="D45" t="s">
        <v>14</v>
      </c>
      <c r="E45" t="s">
        <v>24</v>
      </c>
      <c r="F45">
        <v>98.7</v>
      </c>
      <c r="G45">
        <v>8</v>
      </c>
      <c r="H45">
        <v>39.479999999999997</v>
      </c>
      <c r="I45">
        <v>829.08</v>
      </c>
      <c r="J45" s="3">
        <v>43528</v>
      </c>
      <c r="K45">
        <v>7.6</v>
      </c>
      <c r="L45" t="str" cm="1">
        <f t="array" ref="L45">_xlfn.IFS(Sales[[#This Row],[Rating]]&gt;8,"Super",Sales[[#This Row],[Rating]]&gt;=5,"Good",Sales[[#This Row],[Rating]]&lt;5,"Average")</f>
        <v>Good</v>
      </c>
      <c r="M45">
        <f t="shared" si="1"/>
        <v>3</v>
      </c>
      <c r="N45" t="str">
        <f t="shared" si="2"/>
        <v>Feb</v>
      </c>
      <c r="O45">
        <f t="shared" si="0"/>
        <v>2019</v>
      </c>
    </row>
    <row r="46" spans="1:15" x14ac:dyDescent="0.3">
      <c r="A46" t="s">
        <v>16</v>
      </c>
      <c r="B46" t="s">
        <v>17</v>
      </c>
      <c r="C46" t="s">
        <v>13</v>
      </c>
      <c r="D46" t="s">
        <v>14</v>
      </c>
      <c r="E46" t="s">
        <v>15</v>
      </c>
      <c r="F46">
        <v>15.37</v>
      </c>
      <c r="G46">
        <v>2</v>
      </c>
      <c r="H46">
        <v>1.5369999999999999</v>
      </c>
      <c r="I46">
        <v>32.277000000000001</v>
      </c>
      <c r="J46" s="3">
        <v>43540</v>
      </c>
      <c r="K46">
        <v>7.2</v>
      </c>
      <c r="L46" t="str" cm="1">
        <f t="array" ref="L46">_xlfn.IFS(Sales[[#This Row],[Rating]]&gt;8,"Super",Sales[[#This Row],[Rating]]&gt;=5,"Good",Sales[[#This Row],[Rating]]&lt;5,"Average")</f>
        <v>Good</v>
      </c>
      <c r="M46">
        <f t="shared" si="1"/>
        <v>3</v>
      </c>
      <c r="N46" t="str">
        <f t="shared" si="2"/>
        <v>Mar</v>
      </c>
      <c r="O46">
        <f t="shared" si="0"/>
        <v>2019</v>
      </c>
    </row>
    <row r="47" spans="1:15" x14ac:dyDescent="0.3">
      <c r="A47" t="s">
        <v>22</v>
      </c>
      <c r="B47" t="s">
        <v>23</v>
      </c>
      <c r="C47" t="s">
        <v>13</v>
      </c>
      <c r="D47" t="s">
        <v>14</v>
      </c>
      <c r="E47" t="s">
        <v>19</v>
      </c>
      <c r="F47">
        <v>93.96</v>
      </c>
      <c r="G47">
        <v>4</v>
      </c>
      <c r="H47">
        <v>18.792000000000002</v>
      </c>
      <c r="I47">
        <v>394.63200000000001</v>
      </c>
      <c r="J47" s="3">
        <v>43533</v>
      </c>
      <c r="K47">
        <v>9.5</v>
      </c>
      <c r="L47" t="str" cm="1">
        <f t="array" ref="L47">_xlfn.IFS(Sales[[#This Row],[Rating]]&gt;8,"Super",Sales[[#This Row],[Rating]]&gt;=5,"Good",Sales[[#This Row],[Rating]]&lt;5,"Average")</f>
        <v>Super</v>
      </c>
      <c r="M47">
        <f t="shared" si="1"/>
        <v>3</v>
      </c>
      <c r="N47" t="str">
        <f t="shared" si="2"/>
        <v>Mar</v>
      </c>
      <c r="O47">
        <f t="shared" si="0"/>
        <v>2019</v>
      </c>
    </row>
    <row r="48" spans="1:15" x14ac:dyDescent="0.3">
      <c r="A48" t="s">
        <v>22</v>
      </c>
      <c r="B48" t="s">
        <v>23</v>
      </c>
      <c r="C48" t="s">
        <v>13</v>
      </c>
      <c r="D48" t="s">
        <v>14</v>
      </c>
      <c r="E48" t="s">
        <v>15</v>
      </c>
      <c r="F48">
        <v>56.69</v>
      </c>
      <c r="G48">
        <v>9</v>
      </c>
      <c r="H48">
        <v>25.5105</v>
      </c>
      <c r="I48">
        <v>535.72050000000002</v>
      </c>
      <c r="J48" s="3">
        <v>43523</v>
      </c>
      <c r="K48">
        <v>8.4</v>
      </c>
      <c r="L48" t="str" cm="1">
        <f t="array" ref="L48">_xlfn.IFS(Sales[[#This Row],[Rating]]&gt;8,"Super",Sales[[#This Row],[Rating]]&gt;=5,"Good",Sales[[#This Row],[Rating]]&lt;5,"Average")</f>
        <v>Super</v>
      </c>
      <c r="M48">
        <f t="shared" si="1"/>
        <v>2</v>
      </c>
      <c r="N48" t="str">
        <f t="shared" si="2"/>
        <v>Mar</v>
      </c>
      <c r="O48">
        <f t="shared" si="0"/>
        <v>2019</v>
      </c>
    </row>
    <row r="49" spans="1:15" x14ac:dyDescent="0.3">
      <c r="A49" t="s">
        <v>22</v>
      </c>
      <c r="B49" t="s">
        <v>23</v>
      </c>
      <c r="C49" t="s">
        <v>13</v>
      </c>
      <c r="D49" t="s">
        <v>14</v>
      </c>
      <c r="E49" t="s">
        <v>24</v>
      </c>
      <c r="F49">
        <v>20.010000000000002</v>
      </c>
      <c r="G49">
        <v>9</v>
      </c>
      <c r="H49">
        <v>9.0045000000000002</v>
      </c>
      <c r="I49">
        <v>189.09450000000001</v>
      </c>
      <c r="J49" s="3">
        <v>43502</v>
      </c>
      <c r="K49">
        <v>4.0999999999999996</v>
      </c>
      <c r="L49" t="str" cm="1">
        <f t="array" ref="L49">_xlfn.IFS(Sales[[#This Row],[Rating]]&gt;8,"Super",Sales[[#This Row],[Rating]]&gt;=5,"Good",Sales[[#This Row],[Rating]]&lt;5,"Average")</f>
        <v>Average</v>
      </c>
      <c r="M49">
        <f t="shared" si="1"/>
        <v>2</v>
      </c>
      <c r="N49" t="str">
        <f t="shared" si="2"/>
        <v>Feb</v>
      </c>
      <c r="O49">
        <f t="shared" si="0"/>
        <v>2019</v>
      </c>
    </row>
    <row r="50" spans="1:15" x14ac:dyDescent="0.3">
      <c r="A50" t="s">
        <v>22</v>
      </c>
      <c r="B50" t="s">
        <v>23</v>
      </c>
      <c r="C50" t="s">
        <v>13</v>
      </c>
      <c r="D50" t="s">
        <v>14</v>
      </c>
      <c r="E50" t="s">
        <v>19</v>
      </c>
      <c r="F50">
        <v>18.93</v>
      </c>
      <c r="G50">
        <v>6</v>
      </c>
      <c r="H50">
        <v>5.6790000000000003</v>
      </c>
      <c r="I50">
        <v>119.259</v>
      </c>
      <c r="J50" s="3">
        <v>43506</v>
      </c>
      <c r="K50">
        <v>8.1</v>
      </c>
      <c r="L50" t="str" cm="1">
        <f t="array" ref="L50">_xlfn.IFS(Sales[[#This Row],[Rating]]&gt;8,"Super",Sales[[#This Row],[Rating]]&gt;=5,"Good",Sales[[#This Row],[Rating]]&lt;5,"Average")</f>
        <v>Super</v>
      </c>
      <c r="M50">
        <f t="shared" si="1"/>
        <v>2</v>
      </c>
      <c r="N50" t="str">
        <f t="shared" si="2"/>
        <v>Feb</v>
      </c>
      <c r="O50">
        <f t="shared" si="0"/>
        <v>2019</v>
      </c>
    </row>
    <row r="51" spans="1:15" x14ac:dyDescent="0.3">
      <c r="A51" t="s">
        <v>16</v>
      </c>
      <c r="B51" t="s">
        <v>17</v>
      </c>
      <c r="C51" t="s">
        <v>13</v>
      </c>
      <c r="D51" t="s">
        <v>14</v>
      </c>
      <c r="E51" t="s">
        <v>25</v>
      </c>
      <c r="F51">
        <v>82.63</v>
      </c>
      <c r="G51">
        <v>10</v>
      </c>
      <c r="H51">
        <v>41.314999999999998</v>
      </c>
      <c r="I51">
        <v>867.61500000000001</v>
      </c>
      <c r="J51" s="3">
        <v>43543</v>
      </c>
      <c r="K51">
        <v>7.9</v>
      </c>
      <c r="L51" t="str" cm="1">
        <f t="array" ref="L51">_xlfn.IFS(Sales[[#This Row],[Rating]]&gt;8,"Super",Sales[[#This Row],[Rating]]&gt;=5,"Good",Sales[[#This Row],[Rating]]&lt;5,"Average")</f>
        <v>Good</v>
      </c>
      <c r="M51">
        <f t="shared" si="1"/>
        <v>3</v>
      </c>
      <c r="N51" t="str">
        <f t="shared" si="2"/>
        <v>Feb</v>
      </c>
      <c r="O51">
        <f t="shared" si="0"/>
        <v>2019</v>
      </c>
    </row>
    <row r="52" spans="1:15" x14ac:dyDescent="0.3">
      <c r="A52" t="s">
        <v>16</v>
      </c>
      <c r="B52" t="s">
        <v>17</v>
      </c>
      <c r="C52" t="s">
        <v>13</v>
      </c>
      <c r="D52" t="s">
        <v>14</v>
      </c>
      <c r="E52" t="s">
        <v>24</v>
      </c>
      <c r="F52">
        <v>91.4</v>
      </c>
      <c r="G52">
        <v>7</v>
      </c>
      <c r="H52">
        <v>31.99</v>
      </c>
      <c r="I52">
        <v>671.79</v>
      </c>
      <c r="J52" s="3">
        <v>43499</v>
      </c>
      <c r="K52">
        <v>9.5</v>
      </c>
      <c r="L52" t="str" cm="1">
        <f t="array" ref="L52">_xlfn.IFS(Sales[[#This Row],[Rating]]&gt;8,"Super",Sales[[#This Row],[Rating]]&gt;=5,"Good",Sales[[#This Row],[Rating]]&lt;5,"Average")</f>
        <v>Super</v>
      </c>
      <c r="M52">
        <f t="shared" si="1"/>
        <v>2</v>
      </c>
      <c r="N52" t="str">
        <f t="shared" si="2"/>
        <v>Mar</v>
      </c>
      <c r="O52">
        <f t="shared" si="0"/>
        <v>2019</v>
      </c>
    </row>
    <row r="53" spans="1:15" x14ac:dyDescent="0.3">
      <c r="A53" t="s">
        <v>11</v>
      </c>
      <c r="B53" t="s">
        <v>12</v>
      </c>
      <c r="C53" t="s">
        <v>13</v>
      </c>
      <c r="D53" t="s">
        <v>14</v>
      </c>
      <c r="E53" t="s">
        <v>24</v>
      </c>
      <c r="F53">
        <v>44.59</v>
      </c>
      <c r="G53">
        <v>5</v>
      </c>
      <c r="H53">
        <v>11.147500000000001</v>
      </c>
      <c r="I53">
        <v>234.0975</v>
      </c>
      <c r="J53" s="3">
        <v>43506</v>
      </c>
      <c r="K53">
        <v>8.5</v>
      </c>
      <c r="L53" t="str" cm="1">
        <f t="array" ref="L53">_xlfn.IFS(Sales[[#This Row],[Rating]]&gt;8,"Super",Sales[[#This Row],[Rating]]&gt;=5,"Good",Sales[[#This Row],[Rating]]&lt;5,"Average")</f>
        <v>Super</v>
      </c>
      <c r="M53">
        <f t="shared" si="1"/>
        <v>2</v>
      </c>
      <c r="N53" t="str">
        <f t="shared" si="2"/>
        <v>Feb</v>
      </c>
      <c r="O53">
        <f t="shared" si="0"/>
        <v>2019</v>
      </c>
    </row>
    <row r="54" spans="1:15" x14ac:dyDescent="0.3">
      <c r="A54" t="s">
        <v>22</v>
      </c>
      <c r="B54" t="s">
        <v>23</v>
      </c>
      <c r="C54" t="s">
        <v>13</v>
      </c>
      <c r="D54" t="s">
        <v>14</v>
      </c>
      <c r="E54" t="s">
        <v>25</v>
      </c>
      <c r="F54">
        <v>17.87</v>
      </c>
      <c r="G54">
        <v>4</v>
      </c>
      <c r="H54">
        <v>3.5739999999999998</v>
      </c>
      <c r="I54">
        <v>75.054000000000002</v>
      </c>
      <c r="J54" s="3">
        <v>43546</v>
      </c>
      <c r="K54">
        <v>6.5</v>
      </c>
      <c r="L54" t="str" cm="1">
        <f t="array" ref="L54">_xlfn.IFS(Sales[[#This Row],[Rating]]&gt;8,"Super",Sales[[#This Row],[Rating]]&gt;=5,"Good",Sales[[#This Row],[Rating]]&lt;5,"Average")</f>
        <v>Good</v>
      </c>
      <c r="M54">
        <f t="shared" si="1"/>
        <v>3</v>
      </c>
      <c r="N54" t="str">
        <f t="shared" si="2"/>
        <v>Feb</v>
      </c>
      <c r="O54">
        <f t="shared" si="0"/>
        <v>2019</v>
      </c>
    </row>
    <row r="55" spans="1:15" x14ac:dyDescent="0.3">
      <c r="A55" t="s">
        <v>16</v>
      </c>
      <c r="B55" t="s">
        <v>17</v>
      </c>
      <c r="C55" t="s">
        <v>13</v>
      </c>
      <c r="D55" t="s">
        <v>14</v>
      </c>
      <c r="E55" t="s">
        <v>25</v>
      </c>
      <c r="F55">
        <v>15.43</v>
      </c>
      <c r="G55">
        <v>1</v>
      </c>
      <c r="H55">
        <v>0.77149999999999996</v>
      </c>
      <c r="I55">
        <v>16.201499999999999</v>
      </c>
      <c r="J55" s="3">
        <v>43490</v>
      </c>
      <c r="K55">
        <v>6.1</v>
      </c>
      <c r="L55" t="str" cm="1">
        <f t="array" ref="L55">_xlfn.IFS(Sales[[#This Row],[Rating]]&gt;8,"Super",Sales[[#This Row],[Rating]]&gt;=5,"Good",Sales[[#This Row],[Rating]]&lt;5,"Average")</f>
        <v>Good</v>
      </c>
      <c r="M55">
        <f t="shared" si="1"/>
        <v>1</v>
      </c>
      <c r="N55" t="str">
        <f t="shared" si="2"/>
        <v>Mar</v>
      </c>
      <c r="O55">
        <f t="shared" si="0"/>
        <v>2019</v>
      </c>
    </row>
    <row r="56" spans="1:15" x14ac:dyDescent="0.3">
      <c r="A56" t="s">
        <v>22</v>
      </c>
      <c r="B56" t="s">
        <v>23</v>
      </c>
      <c r="C56" t="s">
        <v>13</v>
      </c>
      <c r="D56" t="s">
        <v>14</v>
      </c>
      <c r="E56" t="s">
        <v>20</v>
      </c>
      <c r="F56">
        <v>16.16</v>
      </c>
      <c r="G56">
        <v>2</v>
      </c>
      <c r="H56">
        <v>1.6160000000000001</v>
      </c>
      <c r="I56">
        <v>33.936</v>
      </c>
      <c r="J56" s="3">
        <v>43531</v>
      </c>
      <c r="K56">
        <v>6.5</v>
      </c>
      <c r="L56" t="str" cm="1">
        <f t="array" ref="L56">_xlfn.IFS(Sales[[#This Row],[Rating]]&gt;8,"Super",Sales[[#This Row],[Rating]]&gt;=5,"Good",Sales[[#This Row],[Rating]]&lt;5,"Average")</f>
        <v>Good</v>
      </c>
      <c r="M56">
        <f t="shared" si="1"/>
        <v>3</v>
      </c>
      <c r="N56" t="str">
        <f t="shared" si="2"/>
        <v>Jan</v>
      </c>
      <c r="O56">
        <f t="shared" si="0"/>
        <v>2019</v>
      </c>
    </row>
    <row r="57" spans="1:15" x14ac:dyDescent="0.3">
      <c r="A57" t="s">
        <v>16</v>
      </c>
      <c r="B57" t="s">
        <v>17</v>
      </c>
      <c r="C57" t="s">
        <v>13</v>
      </c>
      <c r="D57" t="s">
        <v>14</v>
      </c>
      <c r="E57" t="s">
        <v>19</v>
      </c>
      <c r="F57">
        <v>85.98</v>
      </c>
      <c r="G57">
        <v>8</v>
      </c>
      <c r="H57">
        <v>34.392000000000003</v>
      </c>
      <c r="I57">
        <v>722.23199999999997</v>
      </c>
      <c r="J57" s="3">
        <v>43524</v>
      </c>
      <c r="K57">
        <v>8.1999999999999993</v>
      </c>
      <c r="L57" t="str" cm="1">
        <f t="array" ref="L57">_xlfn.IFS(Sales[[#This Row],[Rating]]&gt;8,"Super",Sales[[#This Row],[Rating]]&gt;=5,"Good",Sales[[#This Row],[Rating]]&lt;5,"Average")</f>
        <v>Super</v>
      </c>
      <c r="M57">
        <f t="shared" si="1"/>
        <v>2</v>
      </c>
      <c r="N57" t="str">
        <f t="shared" si="2"/>
        <v>Mar</v>
      </c>
      <c r="O57">
        <f t="shared" si="0"/>
        <v>2019</v>
      </c>
    </row>
    <row r="58" spans="1:15" x14ac:dyDescent="0.3">
      <c r="A58" t="s">
        <v>11</v>
      </c>
      <c r="B58" t="s">
        <v>12</v>
      </c>
      <c r="C58" t="s">
        <v>13</v>
      </c>
      <c r="D58" t="s">
        <v>14</v>
      </c>
      <c r="E58" t="s">
        <v>20</v>
      </c>
      <c r="F58">
        <v>44.34</v>
      </c>
      <c r="G58">
        <v>2</v>
      </c>
      <c r="H58">
        <v>4.4340000000000002</v>
      </c>
      <c r="I58">
        <v>93.114000000000004</v>
      </c>
      <c r="J58" s="3">
        <v>43551</v>
      </c>
      <c r="K58">
        <v>5.8</v>
      </c>
      <c r="L58" t="str" cm="1">
        <f t="array" ref="L58">_xlfn.IFS(Sales[[#This Row],[Rating]]&gt;8,"Super",Sales[[#This Row],[Rating]]&gt;=5,"Good",Sales[[#This Row],[Rating]]&lt;5,"Average")</f>
        <v>Good</v>
      </c>
      <c r="M58">
        <f t="shared" si="1"/>
        <v>3</v>
      </c>
      <c r="N58" t="str">
        <f t="shared" si="2"/>
        <v>Feb</v>
      </c>
      <c r="O58">
        <f t="shared" si="0"/>
        <v>2019</v>
      </c>
    </row>
    <row r="59" spans="1:15" x14ac:dyDescent="0.3">
      <c r="A59" t="s">
        <v>11</v>
      </c>
      <c r="B59" t="s">
        <v>12</v>
      </c>
      <c r="C59" t="s">
        <v>13</v>
      </c>
      <c r="D59" t="s">
        <v>14</v>
      </c>
      <c r="E59" t="s">
        <v>15</v>
      </c>
      <c r="F59">
        <v>89.6</v>
      </c>
      <c r="G59">
        <v>8</v>
      </c>
      <c r="H59">
        <v>35.840000000000003</v>
      </c>
      <c r="I59">
        <v>752.64</v>
      </c>
      <c r="J59" s="3">
        <v>43503</v>
      </c>
      <c r="K59">
        <v>6.6</v>
      </c>
      <c r="L59" t="str" cm="1">
        <f t="array" ref="L59">_xlfn.IFS(Sales[[#This Row],[Rating]]&gt;8,"Super",Sales[[#This Row],[Rating]]&gt;=5,"Good",Sales[[#This Row],[Rating]]&lt;5,"Average")</f>
        <v>Good</v>
      </c>
      <c r="M59">
        <f t="shared" si="1"/>
        <v>2</v>
      </c>
      <c r="N59" t="str">
        <f t="shared" si="2"/>
        <v>Mar</v>
      </c>
      <c r="O59">
        <f t="shared" si="0"/>
        <v>2019</v>
      </c>
    </row>
    <row r="60" spans="1:15" x14ac:dyDescent="0.3">
      <c r="A60" t="s">
        <v>11</v>
      </c>
      <c r="B60" t="s">
        <v>12</v>
      </c>
      <c r="C60" t="s">
        <v>13</v>
      </c>
      <c r="D60" t="s">
        <v>14</v>
      </c>
      <c r="E60" t="s">
        <v>20</v>
      </c>
      <c r="F60">
        <v>72.349999999999994</v>
      </c>
      <c r="G60">
        <v>10</v>
      </c>
      <c r="H60">
        <v>36.174999999999997</v>
      </c>
      <c r="I60">
        <v>759.67499999999995</v>
      </c>
      <c r="J60" s="3">
        <v>43485</v>
      </c>
      <c r="K60">
        <v>5.4</v>
      </c>
      <c r="L60" t="str" cm="1">
        <f t="array" ref="L60">_xlfn.IFS(Sales[[#This Row],[Rating]]&gt;8,"Super",Sales[[#This Row],[Rating]]&gt;=5,"Good",Sales[[#This Row],[Rating]]&lt;5,"Average")</f>
        <v>Good</v>
      </c>
      <c r="M60">
        <f t="shared" si="1"/>
        <v>1</v>
      </c>
      <c r="N60" t="str">
        <f t="shared" si="2"/>
        <v>Feb</v>
      </c>
      <c r="O60">
        <f t="shared" si="0"/>
        <v>2019</v>
      </c>
    </row>
    <row r="61" spans="1:15" x14ac:dyDescent="0.3">
      <c r="A61" t="s">
        <v>16</v>
      </c>
      <c r="B61" t="s">
        <v>17</v>
      </c>
      <c r="C61" t="s">
        <v>13</v>
      </c>
      <c r="D61" t="s">
        <v>14</v>
      </c>
      <c r="E61" t="s">
        <v>19</v>
      </c>
      <c r="F61">
        <v>30.61</v>
      </c>
      <c r="G61">
        <v>6</v>
      </c>
      <c r="H61">
        <v>9.1829999999999998</v>
      </c>
      <c r="I61">
        <v>192.84299999999999</v>
      </c>
      <c r="J61" s="3">
        <v>43536</v>
      </c>
      <c r="K61">
        <v>9.3000000000000007</v>
      </c>
      <c r="L61" t="str" cm="1">
        <f t="array" ref="L61">_xlfn.IFS(Sales[[#This Row],[Rating]]&gt;8,"Super",Sales[[#This Row],[Rating]]&gt;=5,"Good",Sales[[#This Row],[Rating]]&lt;5,"Average")</f>
        <v>Super</v>
      </c>
      <c r="M61">
        <f t="shared" si="1"/>
        <v>3</v>
      </c>
      <c r="N61" t="str">
        <f t="shared" si="2"/>
        <v>Jan</v>
      </c>
      <c r="O61">
        <f t="shared" si="0"/>
        <v>2019</v>
      </c>
    </row>
    <row r="62" spans="1:15" x14ac:dyDescent="0.3">
      <c r="A62" t="s">
        <v>16</v>
      </c>
      <c r="B62" t="s">
        <v>17</v>
      </c>
      <c r="C62" t="s">
        <v>13</v>
      </c>
      <c r="D62" t="s">
        <v>14</v>
      </c>
      <c r="E62" t="s">
        <v>21</v>
      </c>
      <c r="F62">
        <v>24.74</v>
      </c>
      <c r="G62">
        <v>3</v>
      </c>
      <c r="H62">
        <v>3.7109999999999999</v>
      </c>
      <c r="I62">
        <v>77.930999999999997</v>
      </c>
      <c r="J62" s="3">
        <v>43511</v>
      </c>
      <c r="K62">
        <v>10</v>
      </c>
      <c r="L62" t="str" cm="1">
        <f t="array" ref="L62">_xlfn.IFS(Sales[[#This Row],[Rating]]&gt;8,"Super",Sales[[#This Row],[Rating]]&gt;=5,"Good",Sales[[#This Row],[Rating]]&lt;5,"Average")</f>
        <v>Super</v>
      </c>
      <c r="M62">
        <f t="shared" si="1"/>
        <v>2</v>
      </c>
      <c r="N62" t="str">
        <f t="shared" si="2"/>
        <v>Mar</v>
      </c>
      <c r="O62">
        <f t="shared" si="0"/>
        <v>2019</v>
      </c>
    </row>
    <row r="63" spans="1:15" x14ac:dyDescent="0.3">
      <c r="A63" t="s">
        <v>16</v>
      </c>
      <c r="B63" t="s">
        <v>17</v>
      </c>
      <c r="C63" t="s">
        <v>13</v>
      </c>
      <c r="D63" t="s">
        <v>14</v>
      </c>
      <c r="E63" t="s">
        <v>20</v>
      </c>
      <c r="F63">
        <v>55.73</v>
      </c>
      <c r="G63">
        <v>6</v>
      </c>
      <c r="H63">
        <v>16.719000000000001</v>
      </c>
      <c r="I63">
        <v>351.09899999999999</v>
      </c>
      <c r="J63" s="3">
        <v>43520</v>
      </c>
      <c r="K63">
        <v>7</v>
      </c>
      <c r="L63" t="str" cm="1">
        <f t="array" ref="L63">_xlfn.IFS(Sales[[#This Row],[Rating]]&gt;8,"Super",Sales[[#This Row],[Rating]]&gt;=5,"Good",Sales[[#This Row],[Rating]]&lt;5,"Average")</f>
        <v>Good</v>
      </c>
      <c r="M63">
        <f t="shared" si="1"/>
        <v>2</v>
      </c>
      <c r="N63" t="str">
        <f t="shared" si="2"/>
        <v>Feb</v>
      </c>
      <c r="O63">
        <f t="shared" si="0"/>
        <v>2019</v>
      </c>
    </row>
    <row r="64" spans="1:15" x14ac:dyDescent="0.3">
      <c r="A64" t="s">
        <v>22</v>
      </c>
      <c r="B64" t="s">
        <v>23</v>
      </c>
      <c r="C64" t="s">
        <v>13</v>
      </c>
      <c r="D64" t="s">
        <v>14</v>
      </c>
      <c r="E64" t="s">
        <v>21</v>
      </c>
      <c r="F64">
        <v>55.07</v>
      </c>
      <c r="G64">
        <v>9</v>
      </c>
      <c r="H64">
        <v>24.781500000000001</v>
      </c>
      <c r="I64">
        <v>520.41150000000005</v>
      </c>
      <c r="J64" s="3">
        <v>43499</v>
      </c>
      <c r="K64">
        <v>10</v>
      </c>
      <c r="L64" t="str" cm="1">
        <f t="array" ref="L64">_xlfn.IFS(Sales[[#This Row],[Rating]]&gt;8,"Super",Sales[[#This Row],[Rating]]&gt;=5,"Good",Sales[[#This Row],[Rating]]&lt;5,"Average")</f>
        <v>Super</v>
      </c>
      <c r="M64">
        <f t="shared" si="1"/>
        <v>2</v>
      </c>
      <c r="N64" t="str">
        <f t="shared" si="2"/>
        <v>Feb</v>
      </c>
      <c r="O64">
        <f t="shared" si="0"/>
        <v>2019</v>
      </c>
    </row>
    <row r="65" spans="1:15" x14ac:dyDescent="0.3">
      <c r="A65" t="s">
        <v>11</v>
      </c>
      <c r="B65" t="s">
        <v>12</v>
      </c>
      <c r="C65" t="s">
        <v>13</v>
      </c>
      <c r="D65" t="s">
        <v>14</v>
      </c>
      <c r="E65" t="s">
        <v>21</v>
      </c>
      <c r="F65">
        <v>15.81</v>
      </c>
      <c r="G65">
        <v>10</v>
      </c>
      <c r="H65">
        <v>7.9050000000000002</v>
      </c>
      <c r="I65">
        <v>166.005</v>
      </c>
      <c r="J65" s="3">
        <v>43530</v>
      </c>
      <c r="K65">
        <v>8.6</v>
      </c>
      <c r="L65" t="str" cm="1">
        <f t="array" ref="L65">_xlfn.IFS(Sales[[#This Row],[Rating]]&gt;8,"Super",Sales[[#This Row],[Rating]]&gt;=5,"Good",Sales[[#This Row],[Rating]]&lt;5,"Average")</f>
        <v>Super</v>
      </c>
      <c r="M65">
        <f t="shared" si="1"/>
        <v>3</v>
      </c>
      <c r="N65" t="str">
        <f t="shared" si="2"/>
        <v>Feb</v>
      </c>
      <c r="O65">
        <f t="shared" si="0"/>
        <v>2019</v>
      </c>
    </row>
    <row r="66" spans="1:15" x14ac:dyDescent="0.3">
      <c r="A66" t="s">
        <v>22</v>
      </c>
      <c r="B66" t="s">
        <v>23</v>
      </c>
      <c r="C66" t="s">
        <v>13</v>
      </c>
      <c r="D66" t="s">
        <v>14</v>
      </c>
      <c r="E66" t="s">
        <v>15</v>
      </c>
      <c r="F66">
        <v>75.739999999999995</v>
      </c>
      <c r="G66">
        <v>4</v>
      </c>
      <c r="H66">
        <v>15.148</v>
      </c>
      <c r="I66">
        <v>318.108</v>
      </c>
      <c r="J66" s="3">
        <v>43510</v>
      </c>
      <c r="K66">
        <v>7.6</v>
      </c>
      <c r="L66" t="str" cm="1">
        <f t="array" ref="L66">_xlfn.IFS(Sales[[#This Row],[Rating]]&gt;8,"Super",Sales[[#This Row],[Rating]]&gt;=5,"Good",Sales[[#This Row],[Rating]]&lt;5,"Average")</f>
        <v>Good</v>
      </c>
      <c r="M66">
        <f t="shared" si="1"/>
        <v>2</v>
      </c>
      <c r="N66" t="str">
        <f t="shared" si="2"/>
        <v>Mar</v>
      </c>
      <c r="O66">
        <f t="shared" si="0"/>
        <v>2019</v>
      </c>
    </row>
    <row r="67" spans="1:15" x14ac:dyDescent="0.3">
      <c r="A67" t="s">
        <v>11</v>
      </c>
      <c r="B67" t="s">
        <v>12</v>
      </c>
      <c r="C67" t="s">
        <v>13</v>
      </c>
      <c r="D67" t="s">
        <v>14</v>
      </c>
      <c r="E67" t="s">
        <v>15</v>
      </c>
      <c r="F67">
        <v>15.87</v>
      </c>
      <c r="G67">
        <v>10</v>
      </c>
      <c r="H67">
        <v>7.9349999999999996</v>
      </c>
      <c r="I67">
        <v>166.63499999999999</v>
      </c>
      <c r="J67" s="3">
        <v>43537</v>
      </c>
      <c r="K67">
        <v>5.8</v>
      </c>
      <c r="L67" t="str" cm="1">
        <f t="array" ref="L67">_xlfn.IFS(Sales[[#This Row],[Rating]]&gt;8,"Super",Sales[[#This Row],[Rating]]&gt;=5,"Good",Sales[[#This Row],[Rating]]&lt;5,"Average")</f>
        <v>Good</v>
      </c>
      <c r="M67">
        <f t="shared" ref="M67:M130" si="3">MONTH(J67)</f>
        <v>3</v>
      </c>
      <c r="N67" t="str">
        <f t="shared" si="2"/>
        <v>Feb</v>
      </c>
      <c r="O67">
        <f t="shared" ref="O67:O130" si="4">YEAR(J67)</f>
        <v>2019</v>
      </c>
    </row>
    <row r="68" spans="1:15" x14ac:dyDescent="0.3">
      <c r="A68" t="s">
        <v>16</v>
      </c>
      <c r="B68" t="s">
        <v>17</v>
      </c>
      <c r="C68" t="s">
        <v>13</v>
      </c>
      <c r="D68" t="s">
        <v>14</v>
      </c>
      <c r="E68" t="s">
        <v>15</v>
      </c>
      <c r="F68">
        <v>33.47</v>
      </c>
      <c r="G68">
        <v>2</v>
      </c>
      <c r="H68">
        <v>3.347</v>
      </c>
      <c r="I68">
        <v>70.287000000000006</v>
      </c>
      <c r="J68" s="3">
        <v>43506</v>
      </c>
      <c r="K68">
        <v>6.7</v>
      </c>
      <c r="L68" t="str" cm="1">
        <f t="array" ref="L68">_xlfn.IFS(Sales[[#This Row],[Rating]]&gt;8,"Super",Sales[[#This Row],[Rating]]&gt;=5,"Good",Sales[[#This Row],[Rating]]&lt;5,"Average")</f>
        <v>Good</v>
      </c>
      <c r="M68">
        <f t="shared" si="3"/>
        <v>2</v>
      </c>
      <c r="N68" t="str">
        <f t="shared" ref="N68:N131" si="5">TEXT(J67,"MMM")</f>
        <v>Mar</v>
      </c>
      <c r="O68">
        <f t="shared" si="4"/>
        <v>2019</v>
      </c>
    </row>
    <row r="69" spans="1:15" x14ac:dyDescent="0.3">
      <c r="A69" t="s">
        <v>22</v>
      </c>
      <c r="B69" t="s">
        <v>23</v>
      </c>
      <c r="C69" t="s">
        <v>13</v>
      </c>
      <c r="D69" t="s">
        <v>14</v>
      </c>
      <c r="E69" t="s">
        <v>25</v>
      </c>
      <c r="F69">
        <v>97.61</v>
      </c>
      <c r="G69">
        <v>6</v>
      </c>
      <c r="H69">
        <v>29.283000000000001</v>
      </c>
      <c r="I69">
        <v>614.94299999999998</v>
      </c>
      <c r="J69" s="3">
        <v>43472</v>
      </c>
      <c r="K69">
        <v>9.9</v>
      </c>
      <c r="L69" t="str" cm="1">
        <f t="array" ref="L69">_xlfn.IFS(Sales[[#This Row],[Rating]]&gt;8,"Super",Sales[[#This Row],[Rating]]&gt;=5,"Good",Sales[[#This Row],[Rating]]&lt;5,"Average")</f>
        <v>Super</v>
      </c>
      <c r="M69">
        <f t="shared" si="3"/>
        <v>1</v>
      </c>
      <c r="N69" t="str">
        <f t="shared" si="5"/>
        <v>Feb</v>
      </c>
      <c r="O69">
        <f t="shared" si="4"/>
        <v>2019</v>
      </c>
    </row>
    <row r="70" spans="1:15" x14ac:dyDescent="0.3">
      <c r="A70" t="s">
        <v>11</v>
      </c>
      <c r="B70" t="s">
        <v>12</v>
      </c>
      <c r="C70" t="s">
        <v>13</v>
      </c>
      <c r="D70" t="s">
        <v>14</v>
      </c>
      <c r="E70" t="s">
        <v>21</v>
      </c>
      <c r="F70">
        <v>78.77</v>
      </c>
      <c r="G70">
        <v>10</v>
      </c>
      <c r="H70">
        <v>39.384999999999998</v>
      </c>
      <c r="I70">
        <v>827.08500000000004</v>
      </c>
      <c r="J70" s="3">
        <v>43489</v>
      </c>
      <c r="K70">
        <v>6.4</v>
      </c>
      <c r="L70" t="str" cm="1">
        <f t="array" ref="L70">_xlfn.IFS(Sales[[#This Row],[Rating]]&gt;8,"Super",Sales[[#This Row],[Rating]]&gt;=5,"Good",Sales[[#This Row],[Rating]]&lt;5,"Average")</f>
        <v>Good</v>
      </c>
      <c r="M70">
        <f t="shared" si="3"/>
        <v>1</v>
      </c>
      <c r="N70" t="str">
        <f t="shared" si="5"/>
        <v>Jan</v>
      </c>
      <c r="O70">
        <f t="shared" si="4"/>
        <v>2019</v>
      </c>
    </row>
    <row r="71" spans="1:15" x14ac:dyDescent="0.3">
      <c r="A71" t="s">
        <v>11</v>
      </c>
      <c r="B71" t="s">
        <v>12</v>
      </c>
      <c r="C71" t="s">
        <v>13</v>
      </c>
      <c r="D71" t="s">
        <v>14</v>
      </c>
      <c r="E71" t="s">
        <v>15</v>
      </c>
      <c r="F71">
        <v>18.329999999999998</v>
      </c>
      <c r="G71">
        <v>1</v>
      </c>
      <c r="H71">
        <v>0.91649999999999998</v>
      </c>
      <c r="I71">
        <v>19.246500000000001</v>
      </c>
      <c r="J71" s="3">
        <v>43498</v>
      </c>
      <c r="K71">
        <v>4.3</v>
      </c>
      <c r="L71" t="str" cm="1">
        <f t="array" ref="L71">_xlfn.IFS(Sales[[#This Row],[Rating]]&gt;8,"Super",Sales[[#This Row],[Rating]]&gt;=5,"Good",Sales[[#This Row],[Rating]]&lt;5,"Average")</f>
        <v>Average</v>
      </c>
      <c r="M71">
        <f t="shared" si="3"/>
        <v>2</v>
      </c>
      <c r="N71" t="str">
        <f t="shared" si="5"/>
        <v>Jan</v>
      </c>
      <c r="O71">
        <f t="shared" si="4"/>
        <v>2019</v>
      </c>
    </row>
    <row r="72" spans="1:15" x14ac:dyDescent="0.3">
      <c r="A72" t="s">
        <v>16</v>
      </c>
      <c r="B72" t="s">
        <v>17</v>
      </c>
      <c r="C72" t="s">
        <v>13</v>
      </c>
      <c r="D72" t="s">
        <v>14</v>
      </c>
      <c r="E72" t="s">
        <v>24</v>
      </c>
      <c r="F72">
        <v>89.48</v>
      </c>
      <c r="G72">
        <v>10</v>
      </c>
      <c r="H72">
        <v>44.74</v>
      </c>
      <c r="I72">
        <v>939.54</v>
      </c>
      <c r="J72" s="3">
        <v>43471</v>
      </c>
      <c r="K72">
        <v>9.6</v>
      </c>
      <c r="L72" t="str" cm="1">
        <f t="array" ref="L72">_xlfn.IFS(Sales[[#This Row],[Rating]]&gt;8,"Super",Sales[[#This Row],[Rating]]&gt;=5,"Good",Sales[[#This Row],[Rating]]&lt;5,"Average")</f>
        <v>Super</v>
      </c>
      <c r="M72">
        <f t="shared" si="3"/>
        <v>1</v>
      </c>
      <c r="N72" t="str">
        <f t="shared" si="5"/>
        <v>Feb</v>
      </c>
      <c r="O72">
        <f t="shared" si="4"/>
        <v>2019</v>
      </c>
    </row>
    <row r="73" spans="1:15" x14ac:dyDescent="0.3">
      <c r="A73" t="s">
        <v>16</v>
      </c>
      <c r="B73" t="s">
        <v>17</v>
      </c>
      <c r="C73" t="s">
        <v>13</v>
      </c>
      <c r="D73" t="s">
        <v>14</v>
      </c>
      <c r="E73" t="s">
        <v>25</v>
      </c>
      <c r="F73">
        <v>62.12</v>
      </c>
      <c r="G73">
        <v>10</v>
      </c>
      <c r="H73">
        <v>31.06</v>
      </c>
      <c r="I73">
        <v>652.26</v>
      </c>
      <c r="J73" s="3">
        <v>43507</v>
      </c>
      <c r="K73">
        <v>5.9</v>
      </c>
      <c r="L73" t="str" cm="1">
        <f t="array" ref="L73">_xlfn.IFS(Sales[[#This Row],[Rating]]&gt;8,"Super",Sales[[#This Row],[Rating]]&gt;=5,"Good",Sales[[#This Row],[Rating]]&lt;5,"Average")</f>
        <v>Good</v>
      </c>
      <c r="M73">
        <f t="shared" si="3"/>
        <v>2</v>
      </c>
      <c r="N73" t="str">
        <f t="shared" si="5"/>
        <v>Jan</v>
      </c>
      <c r="O73">
        <f t="shared" si="4"/>
        <v>2019</v>
      </c>
    </row>
    <row r="74" spans="1:15" x14ac:dyDescent="0.3">
      <c r="A74" t="s">
        <v>22</v>
      </c>
      <c r="B74" t="s">
        <v>23</v>
      </c>
      <c r="C74" t="s">
        <v>13</v>
      </c>
      <c r="D74" t="s">
        <v>14</v>
      </c>
      <c r="E74" t="s">
        <v>24</v>
      </c>
      <c r="F74">
        <v>48.52</v>
      </c>
      <c r="G74">
        <v>3</v>
      </c>
      <c r="H74">
        <v>7.2779999999999996</v>
      </c>
      <c r="I74">
        <v>152.83799999999999</v>
      </c>
      <c r="J74" s="3">
        <v>43529</v>
      </c>
      <c r="K74">
        <v>4</v>
      </c>
      <c r="L74" t="str" cm="1">
        <f t="array" ref="L74">_xlfn.IFS(Sales[[#This Row],[Rating]]&gt;8,"Super",Sales[[#This Row],[Rating]]&gt;=5,"Good",Sales[[#This Row],[Rating]]&lt;5,"Average")</f>
        <v>Average</v>
      </c>
      <c r="M74">
        <f t="shared" si="3"/>
        <v>3</v>
      </c>
      <c r="N74" t="str">
        <f t="shared" si="5"/>
        <v>Feb</v>
      </c>
      <c r="O74">
        <f t="shared" si="4"/>
        <v>2019</v>
      </c>
    </row>
    <row r="75" spans="1:15" x14ac:dyDescent="0.3">
      <c r="A75" t="s">
        <v>16</v>
      </c>
      <c r="B75" t="s">
        <v>17</v>
      </c>
      <c r="C75" t="s">
        <v>13</v>
      </c>
      <c r="D75" t="s">
        <v>14</v>
      </c>
      <c r="E75" t="s">
        <v>19</v>
      </c>
      <c r="F75">
        <v>75.91</v>
      </c>
      <c r="G75">
        <v>6</v>
      </c>
      <c r="H75">
        <v>22.773</v>
      </c>
      <c r="I75">
        <v>478.233</v>
      </c>
      <c r="J75" s="3">
        <v>43533</v>
      </c>
      <c r="K75">
        <v>8.6999999999999993</v>
      </c>
      <c r="L75" t="str" cm="1">
        <f t="array" ref="L75">_xlfn.IFS(Sales[[#This Row],[Rating]]&gt;8,"Super",Sales[[#This Row],[Rating]]&gt;=5,"Good",Sales[[#This Row],[Rating]]&lt;5,"Average")</f>
        <v>Super</v>
      </c>
      <c r="M75">
        <f t="shared" si="3"/>
        <v>3</v>
      </c>
      <c r="N75" t="str">
        <f t="shared" si="5"/>
        <v>Mar</v>
      </c>
      <c r="O75">
        <f t="shared" si="4"/>
        <v>2019</v>
      </c>
    </row>
    <row r="76" spans="1:15" x14ac:dyDescent="0.3">
      <c r="A76" t="s">
        <v>11</v>
      </c>
      <c r="B76" t="s">
        <v>12</v>
      </c>
      <c r="C76" t="s">
        <v>13</v>
      </c>
      <c r="D76" t="s">
        <v>14</v>
      </c>
      <c r="E76" t="s">
        <v>20</v>
      </c>
      <c r="F76">
        <v>74.67</v>
      </c>
      <c r="G76">
        <v>9</v>
      </c>
      <c r="H76">
        <v>33.601500000000001</v>
      </c>
      <c r="I76">
        <v>705.63149999999996</v>
      </c>
      <c r="J76" s="3">
        <v>43487</v>
      </c>
      <c r="K76">
        <v>9.4</v>
      </c>
      <c r="L76" t="str" cm="1">
        <f t="array" ref="L76">_xlfn.IFS(Sales[[#This Row],[Rating]]&gt;8,"Super",Sales[[#This Row],[Rating]]&gt;=5,"Good",Sales[[#This Row],[Rating]]&lt;5,"Average")</f>
        <v>Super</v>
      </c>
      <c r="M76">
        <f t="shared" si="3"/>
        <v>1</v>
      </c>
      <c r="N76" t="str">
        <f t="shared" si="5"/>
        <v>Mar</v>
      </c>
      <c r="O76">
        <f t="shared" si="4"/>
        <v>2019</v>
      </c>
    </row>
    <row r="77" spans="1:15" x14ac:dyDescent="0.3">
      <c r="A77" t="s">
        <v>16</v>
      </c>
      <c r="B77" t="s">
        <v>17</v>
      </c>
      <c r="C77" t="s">
        <v>13</v>
      </c>
      <c r="D77" t="s">
        <v>14</v>
      </c>
      <c r="E77" t="s">
        <v>19</v>
      </c>
      <c r="F77">
        <v>41.65</v>
      </c>
      <c r="G77">
        <v>10</v>
      </c>
      <c r="H77">
        <v>20.824999999999999</v>
      </c>
      <c r="I77">
        <v>437.32499999999999</v>
      </c>
      <c r="J77" s="3">
        <v>43478</v>
      </c>
      <c r="K77">
        <v>5.4</v>
      </c>
      <c r="L77" t="str" cm="1">
        <f t="array" ref="L77">_xlfn.IFS(Sales[[#This Row],[Rating]]&gt;8,"Super",Sales[[#This Row],[Rating]]&gt;=5,"Good",Sales[[#This Row],[Rating]]&lt;5,"Average")</f>
        <v>Good</v>
      </c>
      <c r="M77">
        <f t="shared" si="3"/>
        <v>1</v>
      </c>
      <c r="N77" t="str">
        <f t="shared" si="5"/>
        <v>Jan</v>
      </c>
      <c r="O77">
        <f t="shared" si="4"/>
        <v>2019</v>
      </c>
    </row>
    <row r="78" spans="1:15" x14ac:dyDescent="0.3">
      <c r="A78" t="s">
        <v>16</v>
      </c>
      <c r="B78" t="s">
        <v>17</v>
      </c>
      <c r="C78" t="s">
        <v>13</v>
      </c>
      <c r="D78" t="s">
        <v>14</v>
      </c>
      <c r="E78" t="s">
        <v>25</v>
      </c>
      <c r="F78">
        <v>49.04</v>
      </c>
      <c r="G78">
        <v>9</v>
      </c>
      <c r="H78">
        <v>22.068000000000001</v>
      </c>
      <c r="I78">
        <v>463.428</v>
      </c>
      <c r="J78" s="3">
        <v>43474</v>
      </c>
      <c r="K78">
        <v>8.6</v>
      </c>
      <c r="L78" t="str" cm="1">
        <f t="array" ref="L78">_xlfn.IFS(Sales[[#This Row],[Rating]]&gt;8,"Super",Sales[[#This Row],[Rating]]&gt;=5,"Good",Sales[[#This Row],[Rating]]&lt;5,"Average")</f>
        <v>Super</v>
      </c>
      <c r="M78">
        <f t="shared" si="3"/>
        <v>1</v>
      </c>
      <c r="N78" t="str">
        <f t="shared" si="5"/>
        <v>Jan</v>
      </c>
      <c r="O78">
        <f t="shared" si="4"/>
        <v>2019</v>
      </c>
    </row>
    <row r="79" spans="1:15" x14ac:dyDescent="0.3">
      <c r="A79" t="s">
        <v>11</v>
      </c>
      <c r="B79" t="s">
        <v>12</v>
      </c>
      <c r="C79" t="s">
        <v>13</v>
      </c>
      <c r="D79" t="s">
        <v>14</v>
      </c>
      <c r="E79" t="s">
        <v>25</v>
      </c>
      <c r="F79">
        <v>20.010000000000002</v>
      </c>
      <c r="G79">
        <v>9</v>
      </c>
      <c r="H79">
        <v>9.0045000000000002</v>
      </c>
      <c r="I79">
        <v>189.09450000000001</v>
      </c>
      <c r="J79" s="3">
        <v>43477</v>
      </c>
      <c r="K79">
        <v>5.7</v>
      </c>
      <c r="L79" t="str" cm="1">
        <f t="array" ref="L79">_xlfn.IFS(Sales[[#This Row],[Rating]]&gt;8,"Super",Sales[[#This Row],[Rating]]&gt;=5,"Good",Sales[[#This Row],[Rating]]&lt;5,"Average")</f>
        <v>Good</v>
      </c>
      <c r="M79">
        <f t="shared" si="3"/>
        <v>1</v>
      </c>
      <c r="N79" t="str">
        <f t="shared" si="5"/>
        <v>Jan</v>
      </c>
      <c r="O79">
        <f t="shared" si="4"/>
        <v>2019</v>
      </c>
    </row>
    <row r="80" spans="1:15" x14ac:dyDescent="0.3">
      <c r="A80" t="s">
        <v>16</v>
      </c>
      <c r="B80" t="s">
        <v>17</v>
      </c>
      <c r="C80" t="s">
        <v>13</v>
      </c>
      <c r="D80" t="s">
        <v>14</v>
      </c>
      <c r="E80" t="s">
        <v>24</v>
      </c>
      <c r="F80">
        <v>78.31</v>
      </c>
      <c r="G80">
        <v>10</v>
      </c>
      <c r="H80">
        <v>39.155000000000001</v>
      </c>
      <c r="I80">
        <v>822.255</v>
      </c>
      <c r="J80" s="3">
        <v>43529</v>
      </c>
      <c r="K80">
        <v>6.6</v>
      </c>
      <c r="L80" t="str" cm="1">
        <f t="array" ref="L80">_xlfn.IFS(Sales[[#This Row],[Rating]]&gt;8,"Super",Sales[[#This Row],[Rating]]&gt;=5,"Good",Sales[[#This Row],[Rating]]&lt;5,"Average")</f>
        <v>Good</v>
      </c>
      <c r="M80">
        <f t="shared" si="3"/>
        <v>3</v>
      </c>
      <c r="N80" t="str">
        <f t="shared" si="5"/>
        <v>Jan</v>
      </c>
      <c r="O80">
        <f t="shared" si="4"/>
        <v>2019</v>
      </c>
    </row>
    <row r="81" spans="1:15" x14ac:dyDescent="0.3">
      <c r="A81" t="s">
        <v>16</v>
      </c>
      <c r="B81" t="s">
        <v>17</v>
      </c>
      <c r="C81" t="s">
        <v>13</v>
      </c>
      <c r="D81" t="s">
        <v>14</v>
      </c>
      <c r="E81" t="s">
        <v>15</v>
      </c>
      <c r="F81">
        <v>20.38</v>
      </c>
      <c r="G81">
        <v>5</v>
      </c>
      <c r="H81">
        <v>5.0949999999999998</v>
      </c>
      <c r="I81">
        <v>106.995</v>
      </c>
      <c r="J81" s="3">
        <v>43487</v>
      </c>
      <c r="K81">
        <v>6</v>
      </c>
      <c r="L81" t="str" cm="1">
        <f t="array" ref="L81">_xlfn.IFS(Sales[[#This Row],[Rating]]&gt;8,"Super",Sales[[#This Row],[Rating]]&gt;=5,"Good",Sales[[#This Row],[Rating]]&lt;5,"Average")</f>
        <v>Good</v>
      </c>
      <c r="M81">
        <f t="shared" si="3"/>
        <v>1</v>
      </c>
      <c r="N81" t="str">
        <f t="shared" si="5"/>
        <v>Mar</v>
      </c>
      <c r="O81">
        <f t="shared" si="4"/>
        <v>2019</v>
      </c>
    </row>
    <row r="82" spans="1:15" x14ac:dyDescent="0.3">
      <c r="A82" t="s">
        <v>16</v>
      </c>
      <c r="B82" t="s">
        <v>17</v>
      </c>
      <c r="C82" t="s">
        <v>13</v>
      </c>
      <c r="D82" t="s">
        <v>14</v>
      </c>
      <c r="E82" t="s">
        <v>15</v>
      </c>
      <c r="F82">
        <v>99.19</v>
      </c>
      <c r="G82">
        <v>6</v>
      </c>
      <c r="H82">
        <v>29.757000000000001</v>
      </c>
      <c r="I82">
        <v>624.89700000000005</v>
      </c>
      <c r="J82" s="3">
        <v>43486</v>
      </c>
      <c r="K82">
        <v>5.5</v>
      </c>
      <c r="L82" t="str" cm="1">
        <f t="array" ref="L82">_xlfn.IFS(Sales[[#This Row],[Rating]]&gt;8,"Super",Sales[[#This Row],[Rating]]&gt;=5,"Good",Sales[[#This Row],[Rating]]&lt;5,"Average")</f>
        <v>Good</v>
      </c>
      <c r="M82">
        <f t="shared" si="3"/>
        <v>1</v>
      </c>
      <c r="N82" t="str">
        <f t="shared" si="5"/>
        <v>Jan</v>
      </c>
      <c r="O82">
        <f t="shared" si="4"/>
        <v>2019</v>
      </c>
    </row>
    <row r="83" spans="1:15" x14ac:dyDescent="0.3">
      <c r="A83" t="s">
        <v>22</v>
      </c>
      <c r="B83" t="s">
        <v>23</v>
      </c>
      <c r="C83" t="s">
        <v>13</v>
      </c>
      <c r="D83" t="s">
        <v>14</v>
      </c>
      <c r="E83" t="s">
        <v>24</v>
      </c>
      <c r="F83">
        <v>96.68</v>
      </c>
      <c r="G83">
        <v>3</v>
      </c>
      <c r="H83">
        <v>14.502000000000001</v>
      </c>
      <c r="I83">
        <v>304.54199999999997</v>
      </c>
      <c r="J83" s="3">
        <v>43491</v>
      </c>
      <c r="K83">
        <v>6.4</v>
      </c>
      <c r="L83" t="str" cm="1">
        <f t="array" ref="L83">_xlfn.IFS(Sales[[#This Row],[Rating]]&gt;8,"Super",Sales[[#This Row],[Rating]]&gt;=5,"Good",Sales[[#This Row],[Rating]]&lt;5,"Average")</f>
        <v>Good</v>
      </c>
      <c r="M83">
        <f t="shared" si="3"/>
        <v>1</v>
      </c>
      <c r="N83" t="str">
        <f t="shared" si="5"/>
        <v>Jan</v>
      </c>
      <c r="O83">
        <f t="shared" si="4"/>
        <v>2019</v>
      </c>
    </row>
    <row r="84" spans="1:15" x14ac:dyDescent="0.3">
      <c r="A84" t="s">
        <v>16</v>
      </c>
      <c r="B84" t="s">
        <v>17</v>
      </c>
      <c r="C84" t="s">
        <v>13</v>
      </c>
      <c r="D84" t="s">
        <v>14</v>
      </c>
      <c r="E84" t="s">
        <v>24</v>
      </c>
      <c r="F84">
        <v>19.25</v>
      </c>
      <c r="G84">
        <v>8</v>
      </c>
      <c r="H84">
        <v>7.7</v>
      </c>
      <c r="I84">
        <v>161.69999999999999</v>
      </c>
      <c r="J84" s="3">
        <v>43488</v>
      </c>
      <c r="K84">
        <v>6.6</v>
      </c>
      <c r="L84" t="str" cm="1">
        <f t="array" ref="L84">_xlfn.IFS(Sales[[#This Row],[Rating]]&gt;8,"Super",Sales[[#This Row],[Rating]]&gt;=5,"Good",Sales[[#This Row],[Rating]]&lt;5,"Average")</f>
        <v>Good</v>
      </c>
      <c r="M84">
        <f t="shared" si="3"/>
        <v>1</v>
      </c>
      <c r="N84" t="str">
        <f t="shared" si="5"/>
        <v>Jan</v>
      </c>
      <c r="O84">
        <f t="shared" si="4"/>
        <v>2019</v>
      </c>
    </row>
    <row r="85" spans="1:15" x14ac:dyDescent="0.3">
      <c r="A85" t="s">
        <v>16</v>
      </c>
      <c r="B85" t="s">
        <v>17</v>
      </c>
      <c r="C85" t="s">
        <v>13</v>
      </c>
      <c r="D85" t="s">
        <v>14</v>
      </c>
      <c r="E85" t="s">
        <v>24</v>
      </c>
      <c r="F85">
        <v>80.36</v>
      </c>
      <c r="G85">
        <v>4</v>
      </c>
      <c r="H85">
        <v>16.071999999999999</v>
      </c>
      <c r="I85">
        <v>337.512</v>
      </c>
      <c r="J85" s="3">
        <v>43519</v>
      </c>
      <c r="K85">
        <v>8.3000000000000007</v>
      </c>
      <c r="L85" t="str" cm="1">
        <f t="array" ref="L85">_xlfn.IFS(Sales[[#This Row],[Rating]]&gt;8,"Super",Sales[[#This Row],[Rating]]&gt;=5,"Good",Sales[[#This Row],[Rating]]&lt;5,"Average")</f>
        <v>Super</v>
      </c>
      <c r="M85">
        <f t="shared" si="3"/>
        <v>2</v>
      </c>
      <c r="N85" t="str">
        <f t="shared" si="5"/>
        <v>Jan</v>
      </c>
      <c r="O85">
        <f t="shared" si="4"/>
        <v>2019</v>
      </c>
    </row>
    <row r="86" spans="1:15" x14ac:dyDescent="0.3">
      <c r="A86" t="s">
        <v>16</v>
      </c>
      <c r="B86" t="s">
        <v>17</v>
      </c>
      <c r="C86" t="s">
        <v>13</v>
      </c>
      <c r="D86" t="s">
        <v>14</v>
      </c>
      <c r="E86" t="s">
        <v>21</v>
      </c>
      <c r="F86">
        <v>48.91</v>
      </c>
      <c r="G86">
        <v>5</v>
      </c>
      <c r="H86">
        <v>12.227499999999999</v>
      </c>
      <c r="I86">
        <v>256.77749999999997</v>
      </c>
      <c r="J86" s="3">
        <v>43533</v>
      </c>
      <c r="K86">
        <v>6.6</v>
      </c>
      <c r="L86" t="str" cm="1">
        <f t="array" ref="L86">_xlfn.IFS(Sales[[#This Row],[Rating]]&gt;8,"Super",Sales[[#This Row],[Rating]]&gt;=5,"Good",Sales[[#This Row],[Rating]]&lt;5,"Average")</f>
        <v>Good</v>
      </c>
      <c r="M86">
        <f t="shared" si="3"/>
        <v>3</v>
      </c>
      <c r="N86" t="str">
        <f t="shared" si="5"/>
        <v>Feb</v>
      </c>
      <c r="O86">
        <f t="shared" si="4"/>
        <v>2019</v>
      </c>
    </row>
    <row r="87" spans="1:15" x14ac:dyDescent="0.3">
      <c r="A87" t="s">
        <v>16</v>
      </c>
      <c r="B87" t="s">
        <v>17</v>
      </c>
      <c r="C87" t="s">
        <v>13</v>
      </c>
      <c r="D87" t="s">
        <v>14</v>
      </c>
      <c r="E87" t="s">
        <v>21</v>
      </c>
      <c r="F87">
        <v>83.06</v>
      </c>
      <c r="G87">
        <v>7</v>
      </c>
      <c r="H87">
        <v>29.071000000000002</v>
      </c>
      <c r="I87">
        <v>610.49099999999999</v>
      </c>
      <c r="J87" s="3">
        <v>43529</v>
      </c>
      <c r="K87">
        <v>4</v>
      </c>
      <c r="L87" t="str" cm="1">
        <f t="array" ref="L87">_xlfn.IFS(Sales[[#This Row],[Rating]]&gt;8,"Super",Sales[[#This Row],[Rating]]&gt;=5,"Good",Sales[[#This Row],[Rating]]&lt;5,"Average")</f>
        <v>Average</v>
      </c>
      <c r="M87">
        <f t="shared" si="3"/>
        <v>3</v>
      </c>
      <c r="N87" t="str">
        <f t="shared" si="5"/>
        <v>Mar</v>
      </c>
      <c r="O87">
        <f t="shared" si="4"/>
        <v>2019</v>
      </c>
    </row>
    <row r="88" spans="1:15" x14ac:dyDescent="0.3">
      <c r="A88" t="s">
        <v>16</v>
      </c>
      <c r="B88" t="s">
        <v>17</v>
      </c>
      <c r="C88" t="s">
        <v>13</v>
      </c>
      <c r="D88" t="s">
        <v>14</v>
      </c>
      <c r="E88" t="s">
        <v>25</v>
      </c>
      <c r="F88">
        <v>76.52</v>
      </c>
      <c r="G88">
        <v>5</v>
      </c>
      <c r="H88">
        <v>19.13</v>
      </c>
      <c r="I88">
        <v>401.73</v>
      </c>
      <c r="J88" s="3">
        <v>43549</v>
      </c>
      <c r="K88">
        <v>9.9</v>
      </c>
      <c r="L88" t="str" cm="1">
        <f t="array" ref="L88">_xlfn.IFS(Sales[[#This Row],[Rating]]&gt;8,"Super",Sales[[#This Row],[Rating]]&gt;=5,"Good",Sales[[#This Row],[Rating]]&lt;5,"Average")</f>
        <v>Super</v>
      </c>
      <c r="M88">
        <f t="shared" si="3"/>
        <v>3</v>
      </c>
      <c r="N88" t="str">
        <f t="shared" si="5"/>
        <v>Mar</v>
      </c>
      <c r="O88">
        <f t="shared" si="4"/>
        <v>2019</v>
      </c>
    </row>
    <row r="89" spans="1:15" x14ac:dyDescent="0.3">
      <c r="A89" t="s">
        <v>11</v>
      </c>
      <c r="B89" t="s">
        <v>12</v>
      </c>
      <c r="C89" t="s">
        <v>13</v>
      </c>
      <c r="D89" t="s">
        <v>14</v>
      </c>
      <c r="E89" t="s">
        <v>24</v>
      </c>
      <c r="F89">
        <v>49.38</v>
      </c>
      <c r="G89">
        <v>7</v>
      </c>
      <c r="H89">
        <v>17.283000000000001</v>
      </c>
      <c r="I89">
        <v>362.94299999999998</v>
      </c>
      <c r="J89" s="3">
        <v>43551</v>
      </c>
      <c r="K89">
        <v>7.3</v>
      </c>
      <c r="L89" t="str" cm="1">
        <f t="array" ref="L89">_xlfn.IFS(Sales[[#This Row],[Rating]]&gt;8,"Super",Sales[[#This Row],[Rating]]&gt;=5,"Good",Sales[[#This Row],[Rating]]&lt;5,"Average")</f>
        <v>Good</v>
      </c>
      <c r="M89">
        <f t="shared" si="3"/>
        <v>3</v>
      </c>
      <c r="N89" t="str">
        <f t="shared" si="5"/>
        <v>Mar</v>
      </c>
      <c r="O89">
        <f t="shared" si="4"/>
        <v>2019</v>
      </c>
    </row>
    <row r="90" spans="1:15" x14ac:dyDescent="0.3">
      <c r="A90" t="s">
        <v>11</v>
      </c>
      <c r="B90" t="s">
        <v>12</v>
      </c>
      <c r="C90" t="s">
        <v>13</v>
      </c>
      <c r="D90" t="s">
        <v>14</v>
      </c>
      <c r="E90" t="s">
        <v>21</v>
      </c>
      <c r="F90">
        <v>42.47</v>
      </c>
      <c r="G90">
        <v>1</v>
      </c>
      <c r="H90">
        <v>2.1234999999999999</v>
      </c>
      <c r="I90">
        <v>44.593499999999999</v>
      </c>
      <c r="J90" s="3">
        <v>43467</v>
      </c>
      <c r="K90">
        <v>5.7</v>
      </c>
      <c r="L90" t="str" cm="1">
        <f t="array" ref="L90">_xlfn.IFS(Sales[[#This Row],[Rating]]&gt;8,"Super",Sales[[#This Row],[Rating]]&gt;=5,"Good",Sales[[#This Row],[Rating]]&lt;5,"Average")</f>
        <v>Good</v>
      </c>
      <c r="M90">
        <f t="shared" si="3"/>
        <v>1</v>
      </c>
      <c r="N90" t="str">
        <f t="shared" si="5"/>
        <v>Mar</v>
      </c>
      <c r="O90">
        <f t="shared" si="4"/>
        <v>2019</v>
      </c>
    </row>
    <row r="91" spans="1:15" x14ac:dyDescent="0.3">
      <c r="A91" t="s">
        <v>22</v>
      </c>
      <c r="B91" t="s">
        <v>23</v>
      </c>
      <c r="C91" t="s">
        <v>13</v>
      </c>
      <c r="D91" t="s">
        <v>14</v>
      </c>
      <c r="E91" t="s">
        <v>15</v>
      </c>
      <c r="F91">
        <v>76.989999999999995</v>
      </c>
      <c r="G91">
        <v>6</v>
      </c>
      <c r="H91">
        <v>23.097000000000001</v>
      </c>
      <c r="I91">
        <v>485.03699999999998</v>
      </c>
      <c r="J91" s="3">
        <v>43523</v>
      </c>
      <c r="K91">
        <v>6.1</v>
      </c>
      <c r="L91" t="str" cm="1">
        <f t="array" ref="L91">_xlfn.IFS(Sales[[#This Row],[Rating]]&gt;8,"Super",Sales[[#This Row],[Rating]]&gt;=5,"Good",Sales[[#This Row],[Rating]]&lt;5,"Average")</f>
        <v>Good</v>
      </c>
      <c r="M91">
        <f t="shared" si="3"/>
        <v>2</v>
      </c>
      <c r="N91" t="str">
        <f t="shared" si="5"/>
        <v>Jan</v>
      </c>
      <c r="O91">
        <f t="shared" si="4"/>
        <v>2019</v>
      </c>
    </row>
    <row r="92" spans="1:15" x14ac:dyDescent="0.3">
      <c r="A92" t="s">
        <v>16</v>
      </c>
      <c r="B92" t="s">
        <v>17</v>
      </c>
      <c r="C92" t="s">
        <v>13</v>
      </c>
      <c r="D92" t="s">
        <v>14</v>
      </c>
      <c r="E92" t="s">
        <v>20</v>
      </c>
      <c r="F92">
        <v>47.38</v>
      </c>
      <c r="G92">
        <v>4</v>
      </c>
      <c r="H92">
        <v>9.4760000000000009</v>
      </c>
      <c r="I92">
        <v>198.99600000000001</v>
      </c>
      <c r="J92" s="3">
        <v>43488</v>
      </c>
      <c r="K92">
        <v>7.1</v>
      </c>
      <c r="L92" t="str" cm="1">
        <f t="array" ref="L92">_xlfn.IFS(Sales[[#This Row],[Rating]]&gt;8,"Super",Sales[[#This Row],[Rating]]&gt;=5,"Good",Sales[[#This Row],[Rating]]&lt;5,"Average")</f>
        <v>Good</v>
      </c>
      <c r="M92">
        <f t="shared" si="3"/>
        <v>1</v>
      </c>
      <c r="N92" t="str">
        <f t="shared" si="5"/>
        <v>Feb</v>
      </c>
      <c r="O92">
        <f t="shared" si="4"/>
        <v>2019</v>
      </c>
    </row>
    <row r="93" spans="1:15" x14ac:dyDescent="0.3">
      <c r="A93" t="s">
        <v>16</v>
      </c>
      <c r="B93" t="s">
        <v>17</v>
      </c>
      <c r="C93" t="s">
        <v>13</v>
      </c>
      <c r="D93" t="s">
        <v>14</v>
      </c>
      <c r="E93" t="s">
        <v>21</v>
      </c>
      <c r="F93">
        <v>44.86</v>
      </c>
      <c r="G93">
        <v>10</v>
      </c>
      <c r="H93">
        <v>22.43</v>
      </c>
      <c r="I93">
        <v>471.03</v>
      </c>
      <c r="J93" s="3">
        <v>43491</v>
      </c>
      <c r="K93">
        <v>8.1999999999999993</v>
      </c>
      <c r="L93" t="str" cm="1">
        <f t="array" ref="L93">_xlfn.IFS(Sales[[#This Row],[Rating]]&gt;8,"Super",Sales[[#This Row],[Rating]]&gt;=5,"Good",Sales[[#This Row],[Rating]]&lt;5,"Average")</f>
        <v>Super</v>
      </c>
      <c r="M93">
        <f t="shared" si="3"/>
        <v>1</v>
      </c>
      <c r="N93" t="str">
        <f t="shared" si="5"/>
        <v>Jan</v>
      </c>
      <c r="O93">
        <f t="shared" si="4"/>
        <v>2019</v>
      </c>
    </row>
    <row r="94" spans="1:15" x14ac:dyDescent="0.3">
      <c r="A94" t="s">
        <v>11</v>
      </c>
      <c r="B94" t="s">
        <v>12</v>
      </c>
      <c r="C94" t="s">
        <v>13</v>
      </c>
      <c r="D94" t="s">
        <v>14</v>
      </c>
      <c r="E94" t="s">
        <v>21</v>
      </c>
      <c r="F94">
        <v>21.98</v>
      </c>
      <c r="G94">
        <v>7</v>
      </c>
      <c r="H94">
        <v>7.6929999999999996</v>
      </c>
      <c r="I94">
        <v>161.553</v>
      </c>
      <c r="J94" s="3">
        <v>43475</v>
      </c>
      <c r="K94">
        <v>5.0999999999999996</v>
      </c>
      <c r="L94" t="str" cm="1">
        <f t="array" ref="L94">_xlfn.IFS(Sales[[#This Row],[Rating]]&gt;8,"Super",Sales[[#This Row],[Rating]]&gt;=5,"Good",Sales[[#This Row],[Rating]]&lt;5,"Average")</f>
        <v>Good</v>
      </c>
      <c r="M94">
        <f t="shared" si="3"/>
        <v>1</v>
      </c>
      <c r="N94" t="str">
        <f t="shared" si="5"/>
        <v>Jan</v>
      </c>
      <c r="O94">
        <f t="shared" si="4"/>
        <v>2019</v>
      </c>
    </row>
    <row r="95" spans="1:15" x14ac:dyDescent="0.3">
      <c r="A95" t="s">
        <v>22</v>
      </c>
      <c r="B95" t="s">
        <v>23</v>
      </c>
      <c r="C95" t="s">
        <v>13</v>
      </c>
      <c r="D95" t="s">
        <v>14</v>
      </c>
      <c r="E95" t="s">
        <v>15</v>
      </c>
      <c r="F95">
        <v>64.36</v>
      </c>
      <c r="G95">
        <v>9</v>
      </c>
      <c r="H95">
        <v>28.962</v>
      </c>
      <c r="I95">
        <v>608.202</v>
      </c>
      <c r="J95" s="3">
        <v>43536</v>
      </c>
      <c r="K95">
        <v>8.6</v>
      </c>
      <c r="L95" t="str" cm="1">
        <f t="array" ref="L95">_xlfn.IFS(Sales[[#This Row],[Rating]]&gt;8,"Super",Sales[[#This Row],[Rating]]&gt;=5,"Good",Sales[[#This Row],[Rating]]&lt;5,"Average")</f>
        <v>Super</v>
      </c>
      <c r="M95">
        <f t="shared" si="3"/>
        <v>3</v>
      </c>
      <c r="N95" t="str">
        <f t="shared" si="5"/>
        <v>Jan</v>
      </c>
      <c r="O95">
        <f t="shared" si="4"/>
        <v>2019</v>
      </c>
    </row>
    <row r="96" spans="1:15" x14ac:dyDescent="0.3">
      <c r="A96" t="s">
        <v>16</v>
      </c>
      <c r="B96" t="s">
        <v>17</v>
      </c>
      <c r="C96" t="s">
        <v>13</v>
      </c>
      <c r="D96" t="s">
        <v>14</v>
      </c>
      <c r="E96" t="s">
        <v>15</v>
      </c>
      <c r="F96">
        <v>89.75</v>
      </c>
      <c r="G96">
        <v>1</v>
      </c>
      <c r="H96">
        <v>4.4874999999999998</v>
      </c>
      <c r="I96">
        <v>94.237499999999997</v>
      </c>
      <c r="J96" s="3">
        <v>43502</v>
      </c>
      <c r="K96">
        <v>6.6</v>
      </c>
      <c r="L96" t="str" cm="1">
        <f t="array" ref="L96">_xlfn.IFS(Sales[[#This Row],[Rating]]&gt;8,"Super",Sales[[#This Row],[Rating]]&gt;=5,"Good",Sales[[#This Row],[Rating]]&lt;5,"Average")</f>
        <v>Good</v>
      </c>
      <c r="M96">
        <f t="shared" si="3"/>
        <v>2</v>
      </c>
      <c r="N96" t="str">
        <f t="shared" si="5"/>
        <v>Mar</v>
      </c>
      <c r="O96">
        <f t="shared" si="4"/>
        <v>2019</v>
      </c>
    </row>
    <row r="97" spans="1:15" x14ac:dyDescent="0.3">
      <c r="A97" t="s">
        <v>11</v>
      </c>
      <c r="B97" t="s">
        <v>12</v>
      </c>
      <c r="C97" t="s">
        <v>13</v>
      </c>
      <c r="D97" t="s">
        <v>14</v>
      </c>
      <c r="E97" t="s">
        <v>19</v>
      </c>
      <c r="F97">
        <v>97.16</v>
      </c>
      <c r="G97">
        <v>1</v>
      </c>
      <c r="H97">
        <v>4.8579999999999997</v>
      </c>
      <c r="I97">
        <v>102.018</v>
      </c>
      <c r="J97" s="3">
        <v>43532</v>
      </c>
      <c r="K97">
        <v>7.2</v>
      </c>
      <c r="L97" t="str" cm="1">
        <f t="array" ref="L97">_xlfn.IFS(Sales[[#This Row],[Rating]]&gt;8,"Super",Sales[[#This Row],[Rating]]&gt;=5,"Good",Sales[[#This Row],[Rating]]&lt;5,"Average")</f>
        <v>Good</v>
      </c>
      <c r="M97">
        <f t="shared" si="3"/>
        <v>3</v>
      </c>
      <c r="N97" t="str">
        <f t="shared" si="5"/>
        <v>Feb</v>
      </c>
      <c r="O97">
        <f t="shared" si="4"/>
        <v>2019</v>
      </c>
    </row>
    <row r="98" spans="1:15" x14ac:dyDescent="0.3">
      <c r="A98" t="s">
        <v>22</v>
      </c>
      <c r="B98" t="s">
        <v>23</v>
      </c>
      <c r="C98" t="s">
        <v>13</v>
      </c>
      <c r="D98" t="s">
        <v>14</v>
      </c>
      <c r="E98" t="s">
        <v>15</v>
      </c>
      <c r="F98">
        <v>87.87</v>
      </c>
      <c r="G98">
        <v>10</v>
      </c>
      <c r="H98">
        <v>43.935000000000002</v>
      </c>
      <c r="I98">
        <v>922.63499999999999</v>
      </c>
      <c r="J98" s="3">
        <v>43553</v>
      </c>
      <c r="K98">
        <v>5.0999999999999996</v>
      </c>
      <c r="L98" t="str" cm="1">
        <f t="array" ref="L98">_xlfn.IFS(Sales[[#This Row],[Rating]]&gt;8,"Super",Sales[[#This Row],[Rating]]&gt;=5,"Good",Sales[[#This Row],[Rating]]&lt;5,"Average")</f>
        <v>Good</v>
      </c>
      <c r="M98">
        <f t="shared" si="3"/>
        <v>3</v>
      </c>
      <c r="N98" t="str">
        <f t="shared" si="5"/>
        <v>Mar</v>
      </c>
      <c r="O98">
        <f t="shared" si="4"/>
        <v>2019</v>
      </c>
    </row>
    <row r="99" spans="1:15" x14ac:dyDescent="0.3">
      <c r="A99" t="s">
        <v>16</v>
      </c>
      <c r="B99" t="s">
        <v>17</v>
      </c>
      <c r="C99" t="s">
        <v>13</v>
      </c>
      <c r="D99" t="s">
        <v>14</v>
      </c>
      <c r="E99" t="s">
        <v>19</v>
      </c>
      <c r="F99">
        <v>12.45</v>
      </c>
      <c r="G99">
        <v>6</v>
      </c>
      <c r="H99">
        <v>3.7349999999999999</v>
      </c>
      <c r="I99">
        <v>78.435000000000002</v>
      </c>
      <c r="J99" s="3">
        <v>43505</v>
      </c>
      <c r="K99">
        <v>4.0999999999999996</v>
      </c>
      <c r="L99" t="str" cm="1">
        <f t="array" ref="L99">_xlfn.IFS(Sales[[#This Row],[Rating]]&gt;8,"Super",Sales[[#This Row],[Rating]]&gt;=5,"Good",Sales[[#This Row],[Rating]]&lt;5,"Average")</f>
        <v>Average</v>
      </c>
      <c r="M99">
        <f t="shared" si="3"/>
        <v>2</v>
      </c>
      <c r="N99" t="str">
        <f t="shared" si="5"/>
        <v>Mar</v>
      </c>
      <c r="O99">
        <f t="shared" si="4"/>
        <v>2019</v>
      </c>
    </row>
    <row r="100" spans="1:15" x14ac:dyDescent="0.3">
      <c r="A100" t="s">
        <v>11</v>
      </c>
      <c r="B100" t="s">
        <v>12</v>
      </c>
      <c r="C100" t="s">
        <v>13</v>
      </c>
      <c r="D100" t="s">
        <v>14</v>
      </c>
      <c r="E100" t="s">
        <v>24</v>
      </c>
      <c r="F100">
        <v>52.75</v>
      </c>
      <c r="G100">
        <v>3</v>
      </c>
      <c r="H100">
        <v>7.9124999999999996</v>
      </c>
      <c r="I100">
        <v>166.16249999999999</v>
      </c>
      <c r="J100" s="3">
        <v>43547</v>
      </c>
      <c r="K100">
        <v>9.3000000000000007</v>
      </c>
      <c r="L100" t="str" cm="1">
        <f t="array" ref="L100">_xlfn.IFS(Sales[[#This Row],[Rating]]&gt;8,"Super",Sales[[#This Row],[Rating]]&gt;=5,"Good",Sales[[#This Row],[Rating]]&lt;5,"Average")</f>
        <v>Super</v>
      </c>
      <c r="M100">
        <f t="shared" si="3"/>
        <v>3</v>
      </c>
      <c r="N100" t="str">
        <f t="shared" si="5"/>
        <v>Feb</v>
      </c>
      <c r="O100">
        <f t="shared" si="4"/>
        <v>2019</v>
      </c>
    </row>
    <row r="101" spans="1:15" x14ac:dyDescent="0.3">
      <c r="A101" t="s">
        <v>22</v>
      </c>
      <c r="B101" t="s">
        <v>23</v>
      </c>
      <c r="C101" t="s">
        <v>13</v>
      </c>
      <c r="D101" t="s">
        <v>14</v>
      </c>
      <c r="E101" t="s">
        <v>20</v>
      </c>
      <c r="F101">
        <v>82.7</v>
      </c>
      <c r="G101">
        <v>6</v>
      </c>
      <c r="H101">
        <v>24.81</v>
      </c>
      <c r="I101">
        <v>521.01</v>
      </c>
      <c r="J101" s="3">
        <v>43529</v>
      </c>
      <c r="K101">
        <v>7.4</v>
      </c>
      <c r="L101" t="str" cm="1">
        <f t="array" ref="L101">_xlfn.IFS(Sales[[#This Row],[Rating]]&gt;8,"Super",Sales[[#This Row],[Rating]]&gt;=5,"Good",Sales[[#This Row],[Rating]]&lt;5,"Average")</f>
        <v>Good</v>
      </c>
      <c r="M101">
        <f t="shared" si="3"/>
        <v>3</v>
      </c>
      <c r="N101" t="str">
        <f t="shared" si="5"/>
        <v>Mar</v>
      </c>
      <c r="O101">
        <f t="shared" si="4"/>
        <v>2019</v>
      </c>
    </row>
    <row r="102" spans="1:15" x14ac:dyDescent="0.3">
      <c r="A102" t="s">
        <v>16</v>
      </c>
      <c r="B102" t="s">
        <v>17</v>
      </c>
      <c r="C102" t="s">
        <v>13</v>
      </c>
      <c r="D102" t="s">
        <v>14</v>
      </c>
      <c r="E102" t="s">
        <v>25</v>
      </c>
      <c r="F102">
        <v>48.71</v>
      </c>
      <c r="G102">
        <v>1</v>
      </c>
      <c r="H102">
        <v>2.4355000000000002</v>
      </c>
      <c r="I102">
        <v>51.145499999999998</v>
      </c>
      <c r="J102" s="3">
        <v>43550</v>
      </c>
      <c r="K102">
        <v>4.0999999999999996</v>
      </c>
      <c r="L102" t="str" cm="1">
        <f t="array" ref="L102">_xlfn.IFS(Sales[[#This Row],[Rating]]&gt;8,"Super",Sales[[#This Row],[Rating]]&gt;=5,"Good",Sales[[#This Row],[Rating]]&lt;5,"Average")</f>
        <v>Average</v>
      </c>
      <c r="M102">
        <f t="shared" si="3"/>
        <v>3</v>
      </c>
      <c r="N102" t="str">
        <f t="shared" si="5"/>
        <v>Mar</v>
      </c>
      <c r="O102">
        <f t="shared" si="4"/>
        <v>2019</v>
      </c>
    </row>
    <row r="103" spans="1:15" x14ac:dyDescent="0.3">
      <c r="A103" t="s">
        <v>16</v>
      </c>
      <c r="B103" t="s">
        <v>17</v>
      </c>
      <c r="C103" t="s">
        <v>13</v>
      </c>
      <c r="D103" t="s">
        <v>14</v>
      </c>
      <c r="E103" t="s">
        <v>25</v>
      </c>
      <c r="F103">
        <v>78.55</v>
      </c>
      <c r="G103">
        <v>9</v>
      </c>
      <c r="H103">
        <v>35.347499999999997</v>
      </c>
      <c r="I103">
        <v>742.29750000000001</v>
      </c>
      <c r="J103" s="3">
        <v>43525</v>
      </c>
      <c r="K103">
        <v>7.2</v>
      </c>
      <c r="L103" t="str" cm="1">
        <f t="array" ref="L103">_xlfn.IFS(Sales[[#This Row],[Rating]]&gt;8,"Super",Sales[[#This Row],[Rating]]&gt;=5,"Good",Sales[[#This Row],[Rating]]&lt;5,"Average")</f>
        <v>Good</v>
      </c>
      <c r="M103">
        <f t="shared" si="3"/>
        <v>3</v>
      </c>
      <c r="N103" t="str">
        <f t="shared" si="5"/>
        <v>Mar</v>
      </c>
      <c r="O103">
        <f t="shared" si="4"/>
        <v>2019</v>
      </c>
    </row>
    <row r="104" spans="1:15" x14ac:dyDescent="0.3">
      <c r="A104" t="s">
        <v>16</v>
      </c>
      <c r="B104" t="s">
        <v>17</v>
      </c>
      <c r="C104" t="s">
        <v>13</v>
      </c>
      <c r="D104" t="s">
        <v>14</v>
      </c>
      <c r="E104" t="s">
        <v>19</v>
      </c>
      <c r="F104">
        <v>23.07</v>
      </c>
      <c r="G104">
        <v>9</v>
      </c>
      <c r="H104">
        <v>10.381500000000001</v>
      </c>
      <c r="I104">
        <v>218.01150000000001</v>
      </c>
      <c r="J104" s="3">
        <v>43497</v>
      </c>
      <c r="K104">
        <v>4.9000000000000004</v>
      </c>
      <c r="L104" t="str" cm="1">
        <f t="array" ref="L104">_xlfn.IFS(Sales[[#This Row],[Rating]]&gt;8,"Super",Sales[[#This Row],[Rating]]&gt;=5,"Good",Sales[[#This Row],[Rating]]&lt;5,"Average")</f>
        <v>Average</v>
      </c>
      <c r="M104">
        <f t="shared" si="3"/>
        <v>2</v>
      </c>
      <c r="N104" t="str">
        <f t="shared" si="5"/>
        <v>Mar</v>
      </c>
      <c r="O104">
        <f t="shared" si="4"/>
        <v>2019</v>
      </c>
    </row>
    <row r="105" spans="1:15" x14ac:dyDescent="0.3">
      <c r="A105" t="s">
        <v>11</v>
      </c>
      <c r="B105" t="s">
        <v>12</v>
      </c>
      <c r="C105" t="s">
        <v>13</v>
      </c>
      <c r="D105" t="s">
        <v>14</v>
      </c>
      <c r="E105" t="s">
        <v>24</v>
      </c>
      <c r="F105">
        <v>58.26</v>
      </c>
      <c r="G105">
        <v>6</v>
      </c>
      <c r="H105">
        <v>17.478000000000002</v>
      </c>
      <c r="I105">
        <v>367.03800000000001</v>
      </c>
      <c r="J105" s="3">
        <v>43552</v>
      </c>
      <c r="K105">
        <v>9.9</v>
      </c>
      <c r="L105" t="str" cm="1">
        <f t="array" ref="L105">_xlfn.IFS(Sales[[#This Row],[Rating]]&gt;8,"Super",Sales[[#This Row],[Rating]]&gt;=5,"Good",Sales[[#This Row],[Rating]]&lt;5,"Average")</f>
        <v>Super</v>
      </c>
      <c r="M105">
        <f t="shared" si="3"/>
        <v>3</v>
      </c>
      <c r="N105" t="str">
        <f t="shared" si="5"/>
        <v>Feb</v>
      </c>
      <c r="O105">
        <f t="shared" si="4"/>
        <v>2019</v>
      </c>
    </row>
    <row r="106" spans="1:15" x14ac:dyDescent="0.3">
      <c r="A106" t="s">
        <v>22</v>
      </c>
      <c r="B106" t="s">
        <v>23</v>
      </c>
      <c r="C106" t="s">
        <v>13</v>
      </c>
      <c r="D106" t="s">
        <v>14</v>
      </c>
      <c r="E106" t="s">
        <v>15</v>
      </c>
      <c r="F106">
        <v>30.35</v>
      </c>
      <c r="G106">
        <v>7</v>
      </c>
      <c r="H106">
        <v>10.6225</v>
      </c>
      <c r="I106">
        <v>223.07249999999999</v>
      </c>
      <c r="J106" s="3">
        <v>43543</v>
      </c>
      <c r="K106">
        <v>8</v>
      </c>
      <c r="L106" t="str" cm="1">
        <f t="array" ref="L106">_xlfn.IFS(Sales[[#This Row],[Rating]]&gt;8,"Super",Sales[[#This Row],[Rating]]&gt;=5,"Good",Sales[[#This Row],[Rating]]&lt;5,"Average")</f>
        <v>Good</v>
      </c>
      <c r="M106">
        <f t="shared" si="3"/>
        <v>3</v>
      </c>
      <c r="N106" t="str">
        <f t="shared" si="5"/>
        <v>Mar</v>
      </c>
      <c r="O106">
        <f t="shared" si="4"/>
        <v>2019</v>
      </c>
    </row>
    <row r="107" spans="1:15" x14ac:dyDescent="0.3">
      <c r="A107" t="s">
        <v>11</v>
      </c>
      <c r="B107" t="s">
        <v>12</v>
      </c>
      <c r="C107" t="s">
        <v>13</v>
      </c>
      <c r="D107" t="s">
        <v>14</v>
      </c>
      <c r="E107" t="s">
        <v>19</v>
      </c>
      <c r="F107">
        <v>88.67</v>
      </c>
      <c r="G107">
        <v>10</v>
      </c>
      <c r="H107">
        <v>44.335000000000001</v>
      </c>
      <c r="I107">
        <v>931.03499999999997</v>
      </c>
      <c r="J107" s="3">
        <v>43477</v>
      </c>
      <c r="K107">
        <v>7.3</v>
      </c>
      <c r="L107" t="str" cm="1">
        <f t="array" ref="L107">_xlfn.IFS(Sales[[#This Row],[Rating]]&gt;8,"Super",Sales[[#This Row],[Rating]]&gt;=5,"Good",Sales[[#This Row],[Rating]]&lt;5,"Average")</f>
        <v>Good</v>
      </c>
      <c r="M107">
        <f t="shared" si="3"/>
        <v>1</v>
      </c>
      <c r="N107" t="str">
        <f t="shared" si="5"/>
        <v>Mar</v>
      </c>
      <c r="O107">
        <f t="shared" si="4"/>
        <v>2019</v>
      </c>
    </row>
    <row r="108" spans="1:15" x14ac:dyDescent="0.3">
      <c r="A108" t="s">
        <v>16</v>
      </c>
      <c r="B108" t="s">
        <v>17</v>
      </c>
      <c r="C108" t="s">
        <v>13</v>
      </c>
      <c r="D108" t="s">
        <v>14</v>
      </c>
      <c r="E108" t="s">
        <v>25</v>
      </c>
      <c r="F108">
        <v>27.38</v>
      </c>
      <c r="G108">
        <v>6</v>
      </c>
      <c r="H108">
        <v>8.2140000000000004</v>
      </c>
      <c r="I108">
        <v>172.494</v>
      </c>
      <c r="J108" s="3">
        <v>43470</v>
      </c>
      <c r="K108">
        <v>7.9</v>
      </c>
      <c r="L108" t="str" cm="1">
        <f t="array" ref="L108">_xlfn.IFS(Sales[[#This Row],[Rating]]&gt;8,"Super",Sales[[#This Row],[Rating]]&gt;=5,"Good",Sales[[#This Row],[Rating]]&lt;5,"Average")</f>
        <v>Good</v>
      </c>
      <c r="M108">
        <f t="shared" si="3"/>
        <v>1</v>
      </c>
      <c r="N108" t="str">
        <f t="shared" si="5"/>
        <v>Jan</v>
      </c>
      <c r="O108">
        <f t="shared" si="4"/>
        <v>2019</v>
      </c>
    </row>
    <row r="109" spans="1:15" x14ac:dyDescent="0.3">
      <c r="A109" t="s">
        <v>11</v>
      </c>
      <c r="B109" t="s">
        <v>12</v>
      </c>
      <c r="C109" t="s">
        <v>13</v>
      </c>
      <c r="D109" t="s">
        <v>14</v>
      </c>
      <c r="E109" t="s">
        <v>21</v>
      </c>
      <c r="F109">
        <v>62.13</v>
      </c>
      <c r="G109">
        <v>6</v>
      </c>
      <c r="H109">
        <v>18.638999999999999</v>
      </c>
      <c r="I109">
        <v>391.41899999999998</v>
      </c>
      <c r="J109" s="3">
        <v>43546</v>
      </c>
      <c r="K109">
        <v>7.4</v>
      </c>
      <c r="L109" t="str" cm="1">
        <f t="array" ref="L109">_xlfn.IFS(Sales[[#This Row],[Rating]]&gt;8,"Super",Sales[[#This Row],[Rating]]&gt;=5,"Good",Sales[[#This Row],[Rating]]&lt;5,"Average")</f>
        <v>Good</v>
      </c>
      <c r="M109">
        <f t="shared" si="3"/>
        <v>3</v>
      </c>
      <c r="N109" t="str">
        <f t="shared" si="5"/>
        <v>Jan</v>
      </c>
      <c r="O109">
        <f t="shared" si="4"/>
        <v>2019</v>
      </c>
    </row>
    <row r="110" spans="1:15" x14ac:dyDescent="0.3">
      <c r="A110" t="s">
        <v>16</v>
      </c>
      <c r="B110" t="s">
        <v>17</v>
      </c>
      <c r="C110" t="s">
        <v>13</v>
      </c>
      <c r="D110" t="s">
        <v>14</v>
      </c>
      <c r="E110" t="s">
        <v>24</v>
      </c>
      <c r="F110">
        <v>33.979999999999997</v>
      </c>
      <c r="G110">
        <v>9</v>
      </c>
      <c r="H110">
        <v>15.291</v>
      </c>
      <c r="I110">
        <v>321.11099999999999</v>
      </c>
      <c r="J110" s="3">
        <v>43548</v>
      </c>
      <c r="K110">
        <v>4.2</v>
      </c>
      <c r="L110" t="str" cm="1">
        <f t="array" ref="L110">_xlfn.IFS(Sales[[#This Row],[Rating]]&gt;8,"Super",Sales[[#This Row],[Rating]]&gt;=5,"Good",Sales[[#This Row],[Rating]]&lt;5,"Average")</f>
        <v>Average</v>
      </c>
      <c r="M110">
        <f t="shared" si="3"/>
        <v>3</v>
      </c>
      <c r="N110" t="str">
        <f t="shared" si="5"/>
        <v>Mar</v>
      </c>
      <c r="O110">
        <f t="shared" si="4"/>
        <v>2019</v>
      </c>
    </row>
    <row r="111" spans="1:15" x14ac:dyDescent="0.3">
      <c r="A111" t="s">
        <v>16</v>
      </c>
      <c r="B111" t="s">
        <v>17</v>
      </c>
      <c r="C111" t="s">
        <v>13</v>
      </c>
      <c r="D111" t="s">
        <v>14</v>
      </c>
      <c r="E111" t="s">
        <v>19</v>
      </c>
      <c r="F111">
        <v>81.97</v>
      </c>
      <c r="G111">
        <v>10</v>
      </c>
      <c r="H111">
        <v>40.984999999999999</v>
      </c>
      <c r="I111">
        <v>860.68499999999995</v>
      </c>
      <c r="J111" s="3">
        <v>43527</v>
      </c>
      <c r="K111">
        <v>9.1999999999999993</v>
      </c>
      <c r="L111" t="str" cm="1">
        <f t="array" ref="L111">_xlfn.IFS(Sales[[#This Row],[Rating]]&gt;8,"Super",Sales[[#This Row],[Rating]]&gt;=5,"Good",Sales[[#This Row],[Rating]]&lt;5,"Average")</f>
        <v>Super</v>
      </c>
      <c r="M111">
        <f t="shared" si="3"/>
        <v>3</v>
      </c>
      <c r="N111" t="str">
        <f t="shared" si="5"/>
        <v>Mar</v>
      </c>
      <c r="O111">
        <f t="shared" si="4"/>
        <v>2019</v>
      </c>
    </row>
    <row r="112" spans="1:15" x14ac:dyDescent="0.3">
      <c r="A112" t="s">
        <v>22</v>
      </c>
      <c r="B112" t="s">
        <v>23</v>
      </c>
      <c r="C112" t="s">
        <v>13</v>
      </c>
      <c r="D112" t="s">
        <v>14</v>
      </c>
      <c r="E112" t="s">
        <v>21</v>
      </c>
      <c r="F112">
        <v>16.489999999999998</v>
      </c>
      <c r="G112">
        <v>2</v>
      </c>
      <c r="H112">
        <v>1.649</v>
      </c>
      <c r="I112">
        <v>34.628999999999998</v>
      </c>
      <c r="J112" s="3">
        <v>43501</v>
      </c>
      <c r="K112">
        <v>4.5999999999999996</v>
      </c>
      <c r="L112" t="str" cm="1">
        <f t="array" ref="L112">_xlfn.IFS(Sales[[#This Row],[Rating]]&gt;8,"Super",Sales[[#This Row],[Rating]]&gt;=5,"Good",Sales[[#This Row],[Rating]]&lt;5,"Average")</f>
        <v>Average</v>
      </c>
      <c r="M112">
        <f t="shared" si="3"/>
        <v>2</v>
      </c>
      <c r="N112" t="str">
        <f t="shared" si="5"/>
        <v>Mar</v>
      </c>
      <c r="O112">
        <f t="shared" si="4"/>
        <v>2019</v>
      </c>
    </row>
    <row r="113" spans="1:15" x14ac:dyDescent="0.3">
      <c r="A113" t="s">
        <v>16</v>
      </c>
      <c r="B113" t="s">
        <v>17</v>
      </c>
      <c r="C113" t="s">
        <v>13</v>
      </c>
      <c r="D113" t="s">
        <v>14</v>
      </c>
      <c r="E113" t="s">
        <v>15</v>
      </c>
      <c r="F113">
        <v>98.21</v>
      </c>
      <c r="G113">
        <v>3</v>
      </c>
      <c r="H113">
        <v>14.7315</v>
      </c>
      <c r="I113">
        <v>309.36149999999998</v>
      </c>
      <c r="J113" s="3">
        <v>43501</v>
      </c>
      <c r="K113">
        <v>7.8</v>
      </c>
      <c r="L113" t="str" cm="1">
        <f t="array" ref="L113">_xlfn.IFS(Sales[[#This Row],[Rating]]&gt;8,"Super",Sales[[#This Row],[Rating]]&gt;=5,"Good",Sales[[#This Row],[Rating]]&lt;5,"Average")</f>
        <v>Good</v>
      </c>
      <c r="M113">
        <f t="shared" si="3"/>
        <v>2</v>
      </c>
      <c r="N113" t="str">
        <f t="shared" si="5"/>
        <v>Feb</v>
      </c>
      <c r="O113">
        <f t="shared" si="4"/>
        <v>2019</v>
      </c>
    </row>
    <row r="114" spans="1:15" x14ac:dyDescent="0.3">
      <c r="A114" t="s">
        <v>22</v>
      </c>
      <c r="B114" t="s">
        <v>23</v>
      </c>
      <c r="C114" t="s">
        <v>13</v>
      </c>
      <c r="D114" t="s">
        <v>14</v>
      </c>
      <c r="E114" t="s">
        <v>25</v>
      </c>
      <c r="F114">
        <v>72.84</v>
      </c>
      <c r="G114">
        <v>7</v>
      </c>
      <c r="H114">
        <v>25.494</v>
      </c>
      <c r="I114">
        <v>535.37400000000002</v>
      </c>
      <c r="J114" s="3">
        <v>43511</v>
      </c>
      <c r="K114">
        <v>8.4</v>
      </c>
      <c r="L114" t="str" cm="1">
        <f t="array" ref="L114">_xlfn.IFS(Sales[[#This Row],[Rating]]&gt;8,"Super",Sales[[#This Row],[Rating]]&gt;=5,"Good",Sales[[#This Row],[Rating]]&lt;5,"Average")</f>
        <v>Super</v>
      </c>
      <c r="M114">
        <f t="shared" si="3"/>
        <v>2</v>
      </c>
      <c r="N114" t="str">
        <f t="shared" si="5"/>
        <v>Feb</v>
      </c>
      <c r="O114">
        <f t="shared" si="4"/>
        <v>2019</v>
      </c>
    </row>
    <row r="115" spans="1:15" x14ac:dyDescent="0.3">
      <c r="A115" t="s">
        <v>11</v>
      </c>
      <c r="B115" t="s">
        <v>12</v>
      </c>
      <c r="C115" t="s">
        <v>13</v>
      </c>
      <c r="D115" t="s">
        <v>14</v>
      </c>
      <c r="E115" t="s">
        <v>20</v>
      </c>
      <c r="F115">
        <v>58.07</v>
      </c>
      <c r="G115">
        <v>9</v>
      </c>
      <c r="H115">
        <v>26.131499999999999</v>
      </c>
      <c r="I115">
        <v>548.76149999999996</v>
      </c>
      <c r="J115" s="3">
        <v>43484</v>
      </c>
      <c r="K115">
        <v>4.3</v>
      </c>
      <c r="L115" t="str" cm="1">
        <f t="array" ref="L115">_xlfn.IFS(Sales[[#This Row],[Rating]]&gt;8,"Super",Sales[[#This Row],[Rating]]&gt;=5,"Good",Sales[[#This Row],[Rating]]&lt;5,"Average")</f>
        <v>Average</v>
      </c>
      <c r="M115">
        <f t="shared" si="3"/>
        <v>1</v>
      </c>
      <c r="N115" t="str">
        <f t="shared" si="5"/>
        <v>Feb</v>
      </c>
      <c r="O115">
        <f t="shared" si="4"/>
        <v>2019</v>
      </c>
    </row>
    <row r="116" spans="1:15" x14ac:dyDescent="0.3">
      <c r="A116" t="s">
        <v>16</v>
      </c>
      <c r="B116" t="s">
        <v>17</v>
      </c>
      <c r="C116" t="s">
        <v>13</v>
      </c>
      <c r="D116" t="s">
        <v>14</v>
      </c>
      <c r="E116" t="s">
        <v>20</v>
      </c>
      <c r="F116">
        <v>80.790000000000006</v>
      </c>
      <c r="G116">
        <v>9</v>
      </c>
      <c r="H116">
        <v>36.355499999999999</v>
      </c>
      <c r="I116">
        <v>763.46550000000002</v>
      </c>
      <c r="J116" s="3">
        <v>43497</v>
      </c>
      <c r="K116">
        <v>9.5</v>
      </c>
      <c r="L116" t="str" cm="1">
        <f t="array" ref="L116">_xlfn.IFS(Sales[[#This Row],[Rating]]&gt;8,"Super",Sales[[#This Row],[Rating]]&gt;=5,"Good",Sales[[#This Row],[Rating]]&lt;5,"Average")</f>
        <v>Super</v>
      </c>
      <c r="M116">
        <f t="shared" si="3"/>
        <v>2</v>
      </c>
      <c r="N116" t="str">
        <f t="shared" si="5"/>
        <v>Jan</v>
      </c>
      <c r="O116">
        <f t="shared" si="4"/>
        <v>2019</v>
      </c>
    </row>
    <row r="117" spans="1:15" x14ac:dyDescent="0.3">
      <c r="A117" t="s">
        <v>16</v>
      </c>
      <c r="B117" t="s">
        <v>17</v>
      </c>
      <c r="C117" t="s">
        <v>13</v>
      </c>
      <c r="D117" t="s">
        <v>14</v>
      </c>
      <c r="E117" t="s">
        <v>25</v>
      </c>
      <c r="F117">
        <v>27.02</v>
      </c>
      <c r="G117">
        <v>3</v>
      </c>
      <c r="H117">
        <v>4.0529999999999999</v>
      </c>
      <c r="I117">
        <v>85.113</v>
      </c>
      <c r="J117" s="3">
        <v>43526</v>
      </c>
      <c r="K117">
        <v>7.1</v>
      </c>
      <c r="L117" t="str" cm="1">
        <f t="array" ref="L117">_xlfn.IFS(Sales[[#This Row],[Rating]]&gt;8,"Super",Sales[[#This Row],[Rating]]&gt;=5,"Good",Sales[[#This Row],[Rating]]&lt;5,"Average")</f>
        <v>Good</v>
      </c>
      <c r="M117">
        <f t="shared" si="3"/>
        <v>3</v>
      </c>
      <c r="N117" t="str">
        <f t="shared" si="5"/>
        <v>Feb</v>
      </c>
      <c r="O117">
        <f t="shared" si="4"/>
        <v>2019</v>
      </c>
    </row>
    <row r="118" spans="1:15" x14ac:dyDescent="0.3">
      <c r="A118" t="s">
        <v>22</v>
      </c>
      <c r="B118" t="s">
        <v>23</v>
      </c>
      <c r="C118" t="s">
        <v>13</v>
      </c>
      <c r="D118" t="s">
        <v>14</v>
      </c>
      <c r="E118" t="s">
        <v>25</v>
      </c>
      <c r="F118">
        <v>21.94</v>
      </c>
      <c r="G118">
        <v>5</v>
      </c>
      <c r="H118">
        <v>5.4850000000000003</v>
      </c>
      <c r="I118">
        <v>115.185</v>
      </c>
      <c r="J118" s="3">
        <v>43529</v>
      </c>
      <c r="K118">
        <v>5.3</v>
      </c>
      <c r="L118" t="str" cm="1">
        <f t="array" ref="L118">_xlfn.IFS(Sales[[#This Row],[Rating]]&gt;8,"Super",Sales[[#This Row],[Rating]]&gt;=5,"Good",Sales[[#This Row],[Rating]]&lt;5,"Average")</f>
        <v>Good</v>
      </c>
      <c r="M118">
        <f t="shared" si="3"/>
        <v>3</v>
      </c>
      <c r="N118" t="str">
        <f t="shared" si="5"/>
        <v>Mar</v>
      </c>
      <c r="O118">
        <f t="shared" si="4"/>
        <v>2019</v>
      </c>
    </row>
    <row r="119" spans="1:15" x14ac:dyDescent="0.3">
      <c r="A119" t="s">
        <v>22</v>
      </c>
      <c r="B119" t="s">
        <v>23</v>
      </c>
      <c r="C119" t="s">
        <v>13</v>
      </c>
      <c r="D119" t="s">
        <v>14</v>
      </c>
      <c r="E119" t="s">
        <v>25</v>
      </c>
      <c r="F119">
        <v>51.36</v>
      </c>
      <c r="G119">
        <v>1</v>
      </c>
      <c r="H119">
        <v>2.5680000000000001</v>
      </c>
      <c r="I119">
        <v>53.927999999999997</v>
      </c>
      <c r="J119" s="3">
        <v>43481</v>
      </c>
      <c r="K119">
        <v>5.2</v>
      </c>
      <c r="L119" t="str" cm="1">
        <f t="array" ref="L119">_xlfn.IFS(Sales[[#This Row],[Rating]]&gt;8,"Super",Sales[[#This Row],[Rating]]&gt;=5,"Good",Sales[[#This Row],[Rating]]&lt;5,"Average")</f>
        <v>Good</v>
      </c>
      <c r="M119">
        <f t="shared" si="3"/>
        <v>1</v>
      </c>
      <c r="N119" t="str">
        <f t="shared" si="5"/>
        <v>Mar</v>
      </c>
      <c r="O119">
        <f t="shared" si="4"/>
        <v>2019</v>
      </c>
    </row>
    <row r="120" spans="1:15" x14ac:dyDescent="0.3">
      <c r="A120" t="s">
        <v>11</v>
      </c>
      <c r="B120" t="s">
        <v>12</v>
      </c>
      <c r="C120" t="s">
        <v>13</v>
      </c>
      <c r="D120" t="s">
        <v>14</v>
      </c>
      <c r="E120" t="s">
        <v>24</v>
      </c>
      <c r="F120">
        <v>10.96</v>
      </c>
      <c r="G120">
        <v>10</v>
      </c>
      <c r="H120">
        <v>5.48</v>
      </c>
      <c r="I120">
        <v>115.08</v>
      </c>
      <c r="J120" s="3">
        <v>43498</v>
      </c>
      <c r="K120">
        <v>6</v>
      </c>
      <c r="L120" t="str" cm="1">
        <f t="array" ref="L120">_xlfn.IFS(Sales[[#This Row],[Rating]]&gt;8,"Super",Sales[[#This Row],[Rating]]&gt;=5,"Good",Sales[[#This Row],[Rating]]&lt;5,"Average")</f>
        <v>Good</v>
      </c>
      <c r="M120">
        <f t="shared" si="3"/>
        <v>2</v>
      </c>
      <c r="N120" t="str">
        <f t="shared" si="5"/>
        <v>Jan</v>
      </c>
      <c r="O120">
        <f t="shared" si="4"/>
        <v>2019</v>
      </c>
    </row>
    <row r="121" spans="1:15" x14ac:dyDescent="0.3">
      <c r="A121" t="s">
        <v>22</v>
      </c>
      <c r="B121" t="s">
        <v>23</v>
      </c>
      <c r="C121" t="s">
        <v>13</v>
      </c>
      <c r="D121" t="s">
        <v>14</v>
      </c>
      <c r="E121" t="s">
        <v>20</v>
      </c>
      <c r="F121">
        <v>53.44</v>
      </c>
      <c r="G121">
        <v>2</v>
      </c>
      <c r="H121">
        <v>5.3440000000000003</v>
      </c>
      <c r="I121">
        <v>112.224</v>
      </c>
      <c r="J121" s="3">
        <v>43485</v>
      </c>
      <c r="K121">
        <v>4.0999999999999996</v>
      </c>
      <c r="L121" t="str" cm="1">
        <f t="array" ref="L121">_xlfn.IFS(Sales[[#This Row],[Rating]]&gt;8,"Super",Sales[[#This Row],[Rating]]&gt;=5,"Good",Sales[[#This Row],[Rating]]&lt;5,"Average")</f>
        <v>Average</v>
      </c>
      <c r="M121">
        <f t="shared" si="3"/>
        <v>1</v>
      </c>
      <c r="N121" t="str">
        <f t="shared" si="5"/>
        <v>Feb</v>
      </c>
      <c r="O121">
        <f t="shared" si="4"/>
        <v>2019</v>
      </c>
    </row>
    <row r="122" spans="1:15" x14ac:dyDescent="0.3">
      <c r="A122" t="s">
        <v>11</v>
      </c>
      <c r="B122" t="s">
        <v>12</v>
      </c>
      <c r="C122" t="s">
        <v>13</v>
      </c>
      <c r="D122" t="s">
        <v>14</v>
      </c>
      <c r="E122" t="s">
        <v>19</v>
      </c>
      <c r="F122">
        <v>99.56</v>
      </c>
      <c r="G122">
        <v>8</v>
      </c>
      <c r="H122">
        <v>39.823999999999998</v>
      </c>
      <c r="I122">
        <v>836.30399999999997</v>
      </c>
      <c r="J122" s="3">
        <v>43510</v>
      </c>
      <c r="K122">
        <v>5.2</v>
      </c>
      <c r="L122" t="str" cm="1">
        <f t="array" ref="L122">_xlfn.IFS(Sales[[#This Row],[Rating]]&gt;8,"Super",Sales[[#This Row],[Rating]]&gt;=5,"Good",Sales[[#This Row],[Rating]]&lt;5,"Average")</f>
        <v>Good</v>
      </c>
      <c r="M122">
        <f t="shared" si="3"/>
        <v>2</v>
      </c>
      <c r="N122" t="str">
        <f t="shared" si="5"/>
        <v>Jan</v>
      </c>
      <c r="O122">
        <f t="shared" si="4"/>
        <v>2019</v>
      </c>
    </row>
    <row r="123" spans="1:15" x14ac:dyDescent="0.3">
      <c r="A123" t="s">
        <v>16</v>
      </c>
      <c r="B123" t="s">
        <v>17</v>
      </c>
      <c r="C123" t="s">
        <v>13</v>
      </c>
      <c r="D123" t="s">
        <v>14</v>
      </c>
      <c r="E123" t="s">
        <v>21</v>
      </c>
      <c r="F123">
        <v>57.12</v>
      </c>
      <c r="G123">
        <v>7</v>
      </c>
      <c r="H123">
        <v>19.992000000000001</v>
      </c>
      <c r="I123">
        <v>419.83199999999999</v>
      </c>
      <c r="J123" s="3">
        <v>43477</v>
      </c>
      <c r="K123">
        <v>6.5</v>
      </c>
      <c r="L123" t="str" cm="1">
        <f t="array" ref="L123">_xlfn.IFS(Sales[[#This Row],[Rating]]&gt;8,"Super",Sales[[#This Row],[Rating]]&gt;=5,"Good",Sales[[#This Row],[Rating]]&lt;5,"Average")</f>
        <v>Good</v>
      </c>
      <c r="M123">
        <f t="shared" si="3"/>
        <v>1</v>
      </c>
      <c r="N123" t="str">
        <f t="shared" si="5"/>
        <v>Feb</v>
      </c>
      <c r="O123">
        <f t="shared" si="4"/>
        <v>2019</v>
      </c>
    </row>
    <row r="124" spans="1:15" x14ac:dyDescent="0.3">
      <c r="A124" t="s">
        <v>22</v>
      </c>
      <c r="B124" t="s">
        <v>23</v>
      </c>
      <c r="C124" t="s">
        <v>13</v>
      </c>
      <c r="D124" t="s">
        <v>14</v>
      </c>
      <c r="E124" t="s">
        <v>21</v>
      </c>
      <c r="F124">
        <v>99.96</v>
      </c>
      <c r="G124">
        <v>9</v>
      </c>
      <c r="H124">
        <v>44.981999999999999</v>
      </c>
      <c r="I124">
        <v>944.62199999999996</v>
      </c>
      <c r="J124" s="3">
        <v>43533</v>
      </c>
      <c r="K124">
        <v>4.2</v>
      </c>
      <c r="L124" t="str" cm="1">
        <f t="array" ref="L124">_xlfn.IFS(Sales[[#This Row],[Rating]]&gt;8,"Super",Sales[[#This Row],[Rating]]&gt;=5,"Good",Sales[[#This Row],[Rating]]&lt;5,"Average")</f>
        <v>Average</v>
      </c>
      <c r="M124">
        <f t="shared" si="3"/>
        <v>3</v>
      </c>
      <c r="N124" t="str">
        <f t="shared" si="5"/>
        <v>Jan</v>
      </c>
      <c r="O124">
        <f t="shared" si="4"/>
        <v>2019</v>
      </c>
    </row>
    <row r="125" spans="1:15" x14ac:dyDescent="0.3">
      <c r="A125" t="s">
        <v>16</v>
      </c>
      <c r="B125" t="s">
        <v>17</v>
      </c>
      <c r="C125" t="s">
        <v>13</v>
      </c>
      <c r="D125" t="s">
        <v>14</v>
      </c>
      <c r="E125" t="s">
        <v>20</v>
      </c>
      <c r="F125">
        <v>63.91</v>
      </c>
      <c r="G125">
        <v>8</v>
      </c>
      <c r="H125">
        <v>25.564</v>
      </c>
      <c r="I125">
        <v>536.84400000000005</v>
      </c>
      <c r="J125" s="3">
        <v>43537</v>
      </c>
      <c r="K125">
        <v>4.5999999999999996</v>
      </c>
      <c r="L125" t="str" cm="1">
        <f t="array" ref="L125">_xlfn.IFS(Sales[[#This Row],[Rating]]&gt;8,"Super",Sales[[#This Row],[Rating]]&gt;=5,"Good",Sales[[#This Row],[Rating]]&lt;5,"Average")</f>
        <v>Average</v>
      </c>
      <c r="M125">
        <f t="shared" si="3"/>
        <v>3</v>
      </c>
      <c r="N125" t="str">
        <f t="shared" si="5"/>
        <v>Mar</v>
      </c>
      <c r="O125">
        <f t="shared" si="4"/>
        <v>2019</v>
      </c>
    </row>
    <row r="126" spans="1:15" x14ac:dyDescent="0.3">
      <c r="A126" t="s">
        <v>22</v>
      </c>
      <c r="B126" t="s">
        <v>23</v>
      </c>
      <c r="C126" t="s">
        <v>13</v>
      </c>
      <c r="D126" t="s">
        <v>14</v>
      </c>
      <c r="E126" t="s">
        <v>25</v>
      </c>
      <c r="F126">
        <v>56.47</v>
      </c>
      <c r="G126">
        <v>8</v>
      </c>
      <c r="H126">
        <v>22.588000000000001</v>
      </c>
      <c r="I126">
        <v>474.34800000000001</v>
      </c>
      <c r="J126" s="3">
        <v>43533</v>
      </c>
      <c r="K126">
        <v>7.3</v>
      </c>
      <c r="L126" t="str" cm="1">
        <f t="array" ref="L126">_xlfn.IFS(Sales[[#This Row],[Rating]]&gt;8,"Super",Sales[[#This Row],[Rating]]&gt;=5,"Good",Sales[[#This Row],[Rating]]&lt;5,"Average")</f>
        <v>Good</v>
      </c>
      <c r="M126">
        <f t="shared" si="3"/>
        <v>3</v>
      </c>
      <c r="N126" t="str">
        <f t="shared" si="5"/>
        <v>Mar</v>
      </c>
      <c r="O126">
        <f t="shared" si="4"/>
        <v>2019</v>
      </c>
    </row>
    <row r="127" spans="1:15" x14ac:dyDescent="0.3">
      <c r="A127" t="s">
        <v>11</v>
      </c>
      <c r="B127" t="s">
        <v>12</v>
      </c>
      <c r="C127" t="s">
        <v>13</v>
      </c>
      <c r="D127" t="s">
        <v>14</v>
      </c>
      <c r="E127" t="s">
        <v>20</v>
      </c>
      <c r="F127">
        <v>93.69</v>
      </c>
      <c r="G127">
        <v>7</v>
      </c>
      <c r="H127">
        <v>32.791499999999999</v>
      </c>
      <c r="I127">
        <v>688.62149999999997</v>
      </c>
      <c r="J127" s="3">
        <v>43534</v>
      </c>
      <c r="K127">
        <v>4.5</v>
      </c>
      <c r="L127" t="str" cm="1">
        <f t="array" ref="L127">_xlfn.IFS(Sales[[#This Row],[Rating]]&gt;8,"Super",Sales[[#This Row],[Rating]]&gt;=5,"Good",Sales[[#This Row],[Rating]]&lt;5,"Average")</f>
        <v>Average</v>
      </c>
      <c r="M127">
        <f t="shared" si="3"/>
        <v>3</v>
      </c>
      <c r="N127" t="str">
        <f t="shared" si="5"/>
        <v>Mar</v>
      </c>
      <c r="O127">
        <f t="shared" si="4"/>
        <v>2019</v>
      </c>
    </row>
    <row r="128" spans="1:15" x14ac:dyDescent="0.3">
      <c r="A128" t="s">
        <v>11</v>
      </c>
      <c r="B128" t="s">
        <v>12</v>
      </c>
      <c r="C128" t="s">
        <v>13</v>
      </c>
      <c r="D128" t="s">
        <v>14</v>
      </c>
      <c r="E128" t="s">
        <v>21</v>
      </c>
      <c r="F128">
        <v>32.25</v>
      </c>
      <c r="G128">
        <v>5</v>
      </c>
      <c r="H128">
        <v>8.0625</v>
      </c>
      <c r="I128">
        <v>169.3125</v>
      </c>
      <c r="J128" s="3">
        <v>43492</v>
      </c>
      <c r="K128">
        <v>9</v>
      </c>
      <c r="L128" t="str" cm="1">
        <f t="array" ref="L128">_xlfn.IFS(Sales[[#This Row],[Rating]]&gt;8,"Super",Sales[[#This Row],[Rating]]&gt;=5,"Good",Sales[[#This Row],[Rating]]&lt;5,"Average")</f>
        <v>Super</v>
      </c>
      <c r="M128">
        <f t="shared" si="3"/>
        <v>1</v>
      </c>
      <c r="N128" t="str">
        <f t="shared" si="5"/>
        <v>Mar</v>
      </c>
      <c r="O128">
        <f t="shared" si="4"/>
        <v>2019</v>
      </c>
    </row>
    <row r="129" spans="1:15" x14ac:dyDescent="0.3">
      <c r="A129" t="s">
        <v>16</v>
      </c>
      <c r="B129" t="s">
        <v>17</v>
      </c>
      <c r="C129" t="s">
        <v>13</v>
      </c>
      <c r="D129" t="s">
        <v>14</v>
      </c>
      <c r="E129" t="s">
        <v>25</v>
      </c>
      <c r="F129">
        <v>31.73</v>
      </c>
      <c r="G129">
        <v>9</v>
      </c>
      <c r="H129">
        <v>14.278499999999999</v>
      </c>
      <c r="I129">
        <v>299.8485</v>
      </c>
      <c r="J129" s="3">
        <v>43473</v>
      </c>
      <c r="K129">
        <v>5.9</v>
      </c>
      <c r="L129" t="str" cm="1">
        <f t="array" ref="L129">_xlfn.IFS(Sales[[#This Row],[Rating]]&gt;8,"Super",Sales[[#This Row],[Rating]]&gt;=5,"Good",Sales[[#This Row],[Rating]]&lt;5,"Average")</f>
        <v>Good</v>
      </c>
      <c r="M129">
        <f t="shared" si="3"/>
        <v>1</v>
      </c>
      <c r="N129" t="str">
        <f t="shared" si="5"/>
        <v>Jan</v>
      </c>
      <c r="O129">
        <f t="shared" si="4"/>
        <v>2019</v>
      </c>
    </row>
    <row r="130" spans="1:15" x14ac:dyDescent="0.3">
      <c r="A130" t="s">
        <v>16</v>
      </c>
      <c r="B130" t="s">
        <v>17</v>
      </c>
      <c r="C130" t="s">
        <v>13</v>
      </c>
      <c r="D130" t="s">
        <v>14</v>
      </c>
      <c r="E130" t="s">
        <v>24</v>
      </c>
      <c r="F130">
        <v>68.540000000000006</v>
      </c>
      <c r="G130">
        <v>8</v>
      </c>
      <c r="H130">
        <v>27.416</v>
      </c>
      <c r="I130">
        <v>575.73599999999999</v>
      </c>
      <c r="J130" s="3">
        <v>43473</v>
      </c>
      <c r="K130">
        <v>8.5</v>
      </c>
      <c r="L130" t="str" cm="1">
        <f t="array" ref="L130">_xlfn.IFS(Sales[[#This Row],[Rating]]&gt;8,"Super",Sales[[#This Row],[Rating]]&gt;=5,"Good",Sales[[#This Row],[Rating]]&lt;5,"Average")</f>
        <v>Super</v>
      </c>
      <c r="M130">
        <f t="shared" si="3"/>
        <v>1</v>
      </c>
      <c r="N130" t="str">
        <f t="shared" si="5"/>
        <v>Jan</v>
      </c>
      <c r="O130">
        <f t="shared" si="4"/>
        <v>2019</v>
      </c>
    </row>
    <row r="131" spans="1:15" x14ac:dyDescent="0.3">
      <c r="A131" t="s">
        <v>22</v>
      </c>
      <c r="B131" t="s">
        <v>23</v>
      </c>
      <c r="C131" t="s">
        <v>13</v>
      </c>
      <c r="D131" t="s">
        <v>14</v>
      </c>
      <c r="E131" t="s">
        <v>21</v>
      </c>
      <c r="F131">
        <v>90.28</v>
      </c>
      <c r="G131">
        <v>9</v>
      </c>
      <c r="H131">
        <v>40.625999999999998</v>
      </c>
      <c r="I131">
        <v>853.14599999999996</v>
      </c>
      <c r="J131" s="3">
        <v>43504</v>
      </c>
      <c r="K131">
        <v>7.2</v>
      </c>
      <c r="L131" t="str" cm="1">
        <f t="array" ref="L131">_xlfn.IFS(Sales[[#This Row],[Rating]]&gt;8,"Super",Sales[[#This Row],[Rating]]&gt;=5,"Good",Sales[[#This Row],[Rating]]&lt;5,"Average")</f>
        <v>Good</v>
      </c>
      <c r="M131">
        <f t="shared" ref="M131:M194" si="6">MONTH(J131)</f>
        <v>2</v>
      </c>
      <c r="N131" t="str">
        <f t="shared" si="5"/>
        <v>Jan</v>
      </c>
      <c r="O131">
        <f t="shared" ref="O131:O194" si="7">YEAR(J131)</f>
        <v>2019</v>
      </c>
    </row>
    <row r="132" spans="1:15" x14ac:dyDescent="0.3">
      <c r="A132" t="s">
        <v>22</v>
      </c>
      <c r="B132" t="s">
        <v>23</v>
      </c>
      <c r="C132" t="s">
        <v>18</v>
      </c>
      <c r="D132" t="s">
        <v>14</v>
      </c>
      <c r="E132" t="s">
        <v>25</v>
      </c>
      <c r="F132">
        <v>39.619999999999997</v>
      </c>
      <c r="G132">
        <v>7</v>
      </c>
      <c r="H132">
        <v>13.867000000000001</v>
      </c>
      <c r="I132">
        <v>291.20699999999999</v>
      </c>
      <c r="J132" s="3">
        <v>43490</v>
      </c>
      <c r="K132">
        <v>7.5</v>
      </c>
      <c r="L132" t="str" cm="1">
        <f t="array" ref="L132">_xlfn.IFS(Sales[[#This Row],[Rating]]&gt;8,"Super",Sales[[#This Row],[Rating]]&gt;=5,"Good",Sales[[#This Row],[Rating]]&lt;5,"Average")</f>
        <v>Good</v>
      </c>
      <c r="M132">
        <f t="shared" si="6"/>
        <v>1</v>
      </c>
      <c r="N132" t="str">
        <f t="shared" ref="N132:N195" si="8">TEXT(J131,"MMM")</f>
        <v>Feb</v>
      </c>
      <c r="O132">
        <f t="shared" si="7"/>
        <v>2019</v>
      </c>
    </row>
    <row r="133" spans="1:15" x14ac:dyDescent="0.3">
      <c r="A133" t="s">
        <v>11</v>
      </c>
      <c r="B133" t="s">
        <v>12</v>
      </c>
      <c r="C133" t="s">
        <v>13</v>
      </c>
      <c r="D133" t="s">
        <v>14</v>
      </c>
      <c r="E133" t="s">
        <v>21</v>
      </c>
      <c r="F133">
        <v>92.13</v>
      </c>
      <c r="G133">
        <v>6</v>
      </c>
      <c r="H133">
        <v>27.638999999999999</v>
      </c>
      <c r="I133">
        <v>580.41899999999998</v>
      </c>
      <c r="J133" s="3">
        <v>43530</v>
      </c>
      <c r="K133">
        <v>8.3000000000000007</v>
      </c>
      <c r="L133" t="str" cm="1">
        <f t="array" ref="L133">_xlfn.IFS(Sales[[#This Row],[Rating]]&gt;8,"Super",Sales[[#This Row],[Rating]]&gt;=5,"Good",Sales[[#This Row],[Rating]]&lt;5,"Average")</f>
        <v>Super</v>
      </c>
      <c r="M133">
        <f t="shared" si="6"/>
        <v>3</v>
      </c>
      <c r="N133" t="str">
        <f t="shared" si="8"/>
        <v>Jan</v>
      </c>
      <c r="O133">
        <f t="shared" si="7"/>
        <v>2019</v>
      </c>
    </row>
    <row r="134" spans="1:15" x14ac:dyDescent="0.3">
      <c r="A134" t="s">
        <v>22</v>
      </c>
      <c r="B134" t="s">
        <v>23</v>
      </c>
      <c r="C134" t="s">
        <v>18</v>
      </c>
      <c r="D134" t="s">
        <v>14</v>
      </c>
      <c r="E134" t="s">
        <v>21</v>
      </c>
      <c r="F134">
        <v>34.840000000000003</v>
      </c>
      <c r="G134">
        <v>4</v>
      </c>
      <c r="H134">
        <v>6.968</v>
      </c>
      <c r="I134">
        <v>146.328</v>
      </c>
      <c r="J134" s="3">
        <v>43506</v>
      </c>
      <c r="K134">
        <v>7.4</v>
      </c>
      <c r="L134" t="str" cm="1">
        <f t="array" ref="L134">_xlfn.IFS(Sales[[#This Row],[Rating]]&gt;8,"Super",Sales[[#This Row],[Rating]]&gt;=5,"Good",Sales[[#This Row],[Rating]]&lt;5,"Average")</f>
        <v>Good</v>
      </c>
      <c r="M134">
        <f t="shared" si="6"/>
        <v>2</v>
      </c>
      <c r="N134" t="str">
        <f t="shared" si="8"/>
        <v>Mar</v>
      </c>
      <c r="O134">
        <f t="shared" si="7"/>
        <v>2019</v>
      </c>
    </row>
    <row r="135" spans="1:15" x14ac:dyDescent="0.3">
      <c r="A135" t="s">
        <v>22</v>
      </c>
      <c r="B135" t="s">
        <v>23</v>
      </c>
      <c r="C135" t="s">
        <v>13</v>
      </c>
      <c r="D135" t="s">
        <v>14</v>
      </c>
      <c r="E135" t="s">
        <v>19</v>
      </c>
      <c r="F135">
        <v>87.45</v>
      </c>
      <c r="G135">
        <v>6</v>
      </c>
      <c r="H135">
        <v>26.234999999999999</v>
      </c>
      <c r="I135">
        <v>550.93499999999995</v>
      </c>
      <c r="J135" s="3">
        <v>43513</v>
      </c>
      <c r="K135">
        <v>8.8000000000000007</v>
      </c>
      <c r="L135" t="str" cm="1">
        <f t="array" ref="L135">_xlfn.IFS(Sales[[#This Row],[Rating]]&gt;8,"Super",Sales[[#This Row],[Rating]]&gt;=5,"Good",Sales[[#This Row],[Rating]]&lt;5,"Average")</f>
        <v>Super</v>
      </c>
      <c r="M135">
        <f t="shared" si="6"/>
        <v>2</v>
      </c>
      <c r="N135" t="str">
        <f t="shared" si="8"/>
        <v>Feb</v>
      </c>
      <c r="O135">
        <f t="shared" si="7"/>
        <v>2019</v>
      </c>
    </row>
    <row r="136" spans="1:15" x14ac:dyDescent="0.3">
      <c r="A136" t="s">
        <v>16</v>
      </c>
      <c r="B136" t="s">
        <v>17</v>
      </c>
      <c r="C136" t="s">
        <v>18</v>
      </c>
      <c r="D136" t="s">
        <v>14</v>
      </c>
      <c r="E136" t="s">
        <v>15</v>
      </c>
      <c r="F136">
        <v>81.3</v>
      </c>
      <c r="G136">
        <v>6</v>
      </c>
      <c r="H136">
        <v>24.39</v>
      </c>
      <c r="I136">
        <v>512.19000000000005</v>
      </c>
      <c r="J136" s="3">
        <v>43532</v>
      </c>
      <c r="K136">
        <v>5.3</v>
      </c>
      <c r="L136" t="str" cm="1">
        <f t="array" ref="L136">_xlfn.IFS(Sales[[#This Row],[Rating]]&gt;8,"Super",Sales[[#This Row],[Rating]]&gt;=5,"Good",Sales[[#This Row],[Rating]]&lt;5,"Average")</f>
        <v>Good</v>
      </c>
      <c r="M136">
        <f t="shared" si="6"/>
        <v>3</v>
      </c>
      <c r="N136" t="str">
        <f t="shared" si="8"/>
        <v>Feb</v>
      </c>
      <c r="O136">
        <f t="shared" si="7"/>
        <v>2019</v>
      </c>
    </row>
    <row r="137" spans="1:15" x14ac:dyDescent="0.3">
      <c r="A137" t="s">
        <v>16</v>
      </c>
      <c r="B137" t="s">
        <v>17</v>
      </c>
      <c r="C137" t="s">
        <v>18</v>
      </c>
      <c r="D137" t="s">
        <v>14</v>
      </c>
      <c r="E137" t="s">
        <v>25</v>
      </c>
      <c r="F137">
        <v>90.22</v>
      </c>
      <c r="G137">
        <v>3</v>
      </c>
      <c r="H137">
        <v>13.532999999999999</v>
      </c>
      <c r="I137">
        <v>284.19299999999998</v>
      </c>
      <c r="J137" s="3">
        <v>43514</v>
      </c>
      <c r="K137">
        <v>6.2</v>
      </c>
      <c r="L137" t="str" cm="1">
        <f t="array" ref="L137">_xlfn.IFS(Sales[[#This Row],[Rating]]&gt;8,"Super",Sales[[#This Row],[Rating]]&gt;=5,"Good",Sales[[#This Row],[Rating]]&lt;5,"Average")</f>
        <v>Good</v>
      </c>
      <c r="M137">
        <f t="shared" si="6"/>
        <v>2</v>
      </c>
      <c r="N137" t="str">
        <f t="shared" si="8"/>
        <v>Mar</v>
      </c>
      <c r="O137">
        <f t="shared" si="7"/>
        <v>2019</v>
      </c>
    </row>
    <row r="138" spans="1:15" x14ac:dyDescent="0.3">
      <c r="A138" t="s">
        <v>11</v>
      </c>
      <c r="B138" t="s">
        <v>12</v>
      </c>
      <c r="C138" t="s">
        <v>18</v>
      </c>
      <c r="D138" t="s">
        <v>14</v>
      </c>
      <c r="E138" t="s">
        <v>19</v>
      </c>
      <c r="F138">
        <v>26.31</v>
      </c>
      <c r="G138">
        <v>5</v>
      </c>
      <c r="H138">
        <v>6.5774999999999997</v>
      </c>
      <c r="I138">
        <v>138.1275</v>
      </c>
      <c r="J138" s="3">
        <v>43483</v>
      </c>
      <c r="K138">
        <v>8.8000000000000007</v>
      </c>
      <c r="L138" t="str" cm="1">
        <f t="array" ref="L138">_xlfn.IFS(Sales[[#This Row],[Rating]]&gt;8,"Super",Sales[[#This Row],[Rating]]&gt;=5,"Good",Sales[[#This Row],[Rating]]&lt;5,"Average")</f>
        <v>Super</v>
      </c>
      <c r="M138">
        <f t="shared" si="6"/>
        <v>1</v>
      </c>
      <c r="N138" t="str">
        <f t="shared" si="8"/>
        <v>Feb</v>
      </c>
      <c r="O138">
        <f t="shared" si="7"/>
        <v>2019</v>
      </c>
    </row>
    <row r="139" spans="1:15" x14ac:dyDescent="0.3">
      <c r="A139" t="s">
        <v>11</v>
      </c>
      <c r="B139" t="s">
        <v>12</v>
      </c>
      <c r="C139" t="s">
        <v>13</v>
      </c>
      <c r="D139" t="s">
        <v>14</v>
      </c>
      <c r="E139" t="s">
        <v>20</v>
      </c>
      <c r="F139">
        <v>34.42</v>
      </c>
      <c r="G139">
        <v>6</v>
      </c>
      <c r="H139">
        <v>10.326000000000001</v>
      </c>
      <c r="I139">
        <v>216.846</v>
      </c>
      <c r="J139" s="3">
        <v>43514</v>
      </c>
      <c r="K139">
        <v>9.8000000000000007</v>
      </c>
      <c r="L139" t="str" cm="1">
        <f t="array" ref="L139">_xlfn.IFS(Sales[[#This Row],[Rating]]&gt;8,"Super",Sales[[#This Row],[Rating]]&gt;=5,"Good",Sales[[#This Row],[Rating]]&lt;5,"Average")</f>
        <v>Super</v>
      </c>
      <c r="M139">
        <f t="shared" si="6"/>
        <v>2</v>
      </c>
      <c r="N139" t="str">
        <f t="shared" si="8"/>
        <v>Jan</v>
      </c>
      <c r="O139">
        <f t="shared" si="7"/>
        <v>2019</v>
      </c>
    </row>
    <row r="140" spans="1:15" x14ac:dyDescent="0.3">
      <c r="A140" t="s">
        <v>22</v>
      </c>
      <c r="B140" t="s">
        <v>23</v>
      </c>
      <c r="C140" t="s">
        <v>18</v>
      </c>
      <c r="D140" t="s">
        <v>14</v>
      </c>
      <c r="E140" t="s">
        <v>21</v>
      </c>
      <c r="F140">
        <v>51.91</v>
      </c>
      <c r="G140">
        <v>10</v>
      </c>
      <c r="H140">
        <v>25.954999999999998</v>
      </c>
      <c r="I140">
        <v>545.05499999999995</v>
      </c>
      <c r="J140" s="3">
        <v>43512</v>
      </c>
      <c r="K140">
        <v>8.1999999999999993</v>
      </c>
      <c r="L140" t="str" cm="1">
        <f t="array" ref="L140">_xlfn.IFS(Sales[[#This Row],[Rating]]&gt;8,"Super",Sales[[#This Row],[Rating]]&gt;=5,"Good",Sales[[#This Row],[Rating]]&lt;5,"Average")</f>
        <v>Super</v>
      </c>
      <c r="M140">
        <f t="shared" si="6"/>
        <v>2</v>
      </c>
      <c r="N140" t="str">
        <f t="shared" si="8"/>
        <v>Feb</v>
      </c>
      <c r="O140">
        <f t="shared" si="7"/>
        <v>2019</v>
      </c>
    </row>
    <row r="141" spans="1:15" x14ac:dyDescent="0.3">
      <c r="A141" t="s">
        <v>11</v>
      </c>
      <c r="B141" t="s">
        <v>12</v>
      </c>
      <c r="C141" t="s">
        <v>18</v>
      </c>
      <c r="D141" t="s">
        <v>14</v>
      </c>
      <c r="E141" t="s">
        <v>21</v>
      </c>
      <c r="F141">
        <v>72.5</v>
      </c>
      <c r="G141">
        <v>8</v>
      </c>
      <c r="H141">
        <v>29</v>
      </c>
      <c r="I141">
        <v>609</v>
      </c>
      <c r="J141" s="3">
        <v>43540</v>
      </c>
      <c r="K141">
        <v>9.1999999999999993</v>
      </c>
      <c r="L141" t="str" cm="1">
        <f t="array" ref="L141">_xlfn.IFS(Sales[[#This Row],[Rating]]&gt;8,"Super",Sales[[#This Row],[Rating]]&gt;=5,"Good",Sales[[#This Row],[Rating]]&lt;5,"Average")</f>
        <v>Super</v>
      </c>
      <c r="M141">
        <f t="shared" si="6"/>
        <v>3</v>
      </c>
      <c r="N141" t="str">
        <f t="shared" si="8"/>
        <v>Feb</v>
      </c>
      <c r="O141">
        <f t="shared" si="7"/>
        <v>2019</v>
      </c>
    </row>
    <row r="142" spans="1:15" x14ac:dyDescent="0.3">
      <c r="A142" t="s">
        <v>16</v>
      </c>
      <c r="B142" t="s">
        <v>17</v>
      </c>
      <c r="C142" t="s">
        <v>13</v>
      </c>
      <c r="D142" t="s">
        <v>14</v>
      </c>
      <c r="E142" t="s">
        <v>21</v>
      </c>
      <c r="F142">
        <v>89.8</v>
      </c>
      <c r="G142">
        <v>10</v>
      </c>
      <c r="H142">
        <v>44.9</v>
      </c>
      <c r="I142">
        <v>942.9</v>
      </c>
      <c r="J142" s="3">
        <v>43488</v>
      </c>
      <c r="K142">
        <v>5.4</v>
      </c>
      <c r="L142" t="str" cm="1">
        <f t="array" ref="L142">_xlfn.IFS(Sales[[#This Row],[Rating]]&gt;8,"Super",Sales[[#This Row],[Rating]]&gt;=5,"Good",Sales[[#This Row],[Rating]]&lt;5,"Average")</f>
        <v>Good</v>
      </c>
      <c r="M142">
        <f t="shared" si="6"/>
        <v>1</v>
      </c>
      <c r="N142" t="str">
        <f t="shared" si="8"/>
        <v>Mar</v>
      </c>
      <c r="O142">
        <f t="shared" si="7"/>
        <v>2019</v>
      </c>
    </row>
    <row r="143" spans="1:15" x14ac:dyDescent="0.3">
      <c r="A143" t="s">
        <v>16</v>
      </c>
      <c r="B143" t="s">
        <v>17</v>
      </c>
      <c r="C143" t="s">
        <v>13</v>
      </c>
      <c r="D143" t="s">
        <v>26</v>
      </c>
      <c r="E143" t="s">
        <v>15</v>
      </c>
      <c r="F143">
        <v>90.5</v>
      </c>
      <c r="G143">
        <v>10</v>
      </c>
      <c r="H143">
        <v>45.25</v>
      </c>
      <c r="I143">
        <v>950.25</v>
      </c>
      <c r="J143" s="3">
        <v>43490</v>
      </c>
      <c r="K143">
        <v>8.1</v>
      </c>
      <c r="L143" t="str" cm="1">
        <f t="array" ref="L143">_xlfn.IFS(Sales[[#This Row],[Rating]]&gt;8,"Super",Sales[[#This Row],[Rating]]&gt;=5,"Good",Sales[[#This Row],[Rating]]&lt;5,"Average")</f>
        <v>Super</v>
      </c>
      <c r="M143">
        <f t="shared" si="6"/>
        <v>1</v>
      </c>
      <c r="N143" t="str">
        <f t="shared" si="8"/>
        <v>Jan</v>
      </c>
      <c r="O143">
        <f t="shared" si="7"/>
        <v>2019</v>
      </c>
    </row>
    <row r="144" spans="1:15" x14ac:dyDescent="0.3">
      <c r="A144" t="s">
        <v>16</v>
      </c>
      <c r="B144" t="s">
        <v>17</v>
      </c>
      <c r="C144" t="s">
        <v>13</v>
      </c>
      <c r="D144" t="s">
        <v>14</v>
      </c>
      <c r="E144" t="s">
        <v>15</v>
      </c>
      <c r="F144">
        <v>68.599999999999994</v>
      </c>
      <c r="G144">
        <v>10</v>
      </c>
      <c r="H144">
        <v>34.299999999999997</v>
      </c>
      <c r="I144">
        <v>720.3</v>
      </c>
      <c r="J144" s="3">
        <v>43501</v>
      </c>
      <c r="K144">
        <v>9.1</v>
      </c>
      <c r="L144" t="str" cm="1">
        <f t="array" ref="L144">_xlfn.IFS(Sales[[#This Row],[Rating]]&gt;8,"Super",Sales[[#This Row],[Rating]]&gt;=5,"Good",Sales[[#This Row],[Rating]]&lt;5,"Average")</f>
        <v>Super</v>
      </c>
      <c r="M144">
        <f t="shared" si="6"/>
        <v>2</v>
      </c>
      <c r="N144" t="str">
        <f t="shared" si="8"/>
        <v>Jan</v>
      </c>
      <c r="O144">
        <f t="shared" si="7"/>
        <v>2019</v>
      </c>
    </row>
    <row r="145" spans="1:15" x14ac:dyDescent="0.3">
      <c r="A145" t="s">
        <v>16</v>
      </c>
      <c r="B145" t="s">
        <v>17</v>
      </c>
      <c r="C145" t="s">
        <v>13</v>
      </c>
      <c r="D145" t="s">
        <v>14</v>
      </c>
      <c r="E145" t="s">
        <v>24</v>
      </c>
      <c r="F145">
        <v>30.41</v>
      </c>
      <c r="G145">
        <v>1</v>
      </c>
      <c r="H145">
        <v>1.5205</v>
      </c>
      <c r="I145">
        <v>31.930499999999999</v>
      </c>
      <c r="J145" s="3">
        <v>43518</v>
      </c>
      <c r="K145">
        <v>8.4</v>
      </c>
      <c r="L145" t="str" cm="1">
        <f t="array" ref="L145">_xlfn.IFS(Sales[[#This Row],[Rating]]&gt;8,"Super",Sales[[#This Row],[Rating]]&gt;=5,"Good",Sales[[#This Row],[Rating]]&lt;5,"Average")</f>
        <v>Super</v>
      </c>
      <c r="M145">
        <f t="shared" si="6"/>
        <v>2</v>
      </c>
      <c r="N145" t="str">
        <f t="shared" si="8"/>
        <v>Feb</v>
      </c>
      <c r="O145">
        <f t="shared" si="7"/>
        <v>2019</v>
      </c>
    </row>
    <row r="146" spans="1:15" x14ac:dyDescent="0.3">
      <c r="A146" t="s">
        <v>11</v>
      </c>
      <c r="B146" t="s">
        <v>12</v>
      </c>
      <c r="C146" t="s">
        <v>18</v>
      </c>
      <c r="D146" t="s">
        <v>14</v>
      </c>
      <c r="E146" t="s">
        <v>20</v>
      </c>
      <c r="F146">
        <v>77.95</v>
      </c>
      <c r="G146">
        <v>6</v>
      </c>
      <c r="H146">
        <v>23.385000000000002</v>
      </c>
      <c r="I146">
        <v>491.08499999999998</v>
      </c>
      <c r="J146" s="3">
        <v>43486</v>
      </c>
      <c r="K146">
        <v>8</v>
      </c>
      <c r="L146" t="str" cm="1">
        <f t="array" ref="L146">_xlfn.IFS(Sales[[#This Row],[Rating]]&gt;8,"Super",Sales[[#This Row],[Rating]]&gt;=5,"Good",Sales[[#This Row],[Rating]]&lt;5,"Average")</f>
        <v>Good</v>
      </c>
      <c r="M146">
        <f t="shared" si="6"/>
        <v>1</v>
      </c>
      <c r="N146" t="str">
        <f t="shared" si="8"/>
        <v>Feb</v>
      </c>
      <c r="O146">
        <f t="shared" si="7"/>
        <v>2019</v>
      </c>
    </row>
    <row r="147" spans="1:15" x14ac:dyDescent="0.3">
      <c r="A147" t="s">
        <v>16</v>
      </c>
      <c r="B147" t="s">
        <v>17</v>
      </c>
      <c r="C147" t="s">
        <v>18</v>
      </c>
      <c r="D147" t="s">
        <v>14</v>
      </c>
      <c r="E147" t="s">
        <v>15</v>
      </c>
      <c r="F147">
        <v>46.26</v>
      </c>
      <c r="G147">
        <v>6</v>
      </c>
      <c r="H147">
        <v>13.878</v>
      </c>
      <c r="I147">
        <v>291.43799999999999</v>
      </c>
      <c r="J147" s="3">
        <v>43532</v>
      </c>
      <c r="K147">
        <v>9.5</v>
      </c>
      <c r="L147" t="str" cm="1">
        <f t="array" ref="L147">_xlfn.IFS(Sales[[#This Row],[Rating]]&gt;8,"Super",Sales[[#This Row],[Rating]]&gt;=5,"Good",Sales[[#This Row],[Rating]]&lt;5,"Average")</f>
        <v>Super</v>
      </c>
      <c r="M147">
        <f t="shared" si="6"/>
        <v>3</v>
      </c>
      <c r="N147" t="str">
        <f t="shared" si="8"/>
        <v>Jan</v>
      </c>
      <c r="O147">
        <f t="shared" si="7"/>
        <v>2019</v>
      </c>
    </row>
    <row r="148" spans="1:15" x14ac:dyDescent="0.3">
      <c r="A148" t="s">
        <v>11</v>
      </c>
      <c r="B148" t="s">
        <v>12</v>
      </c>
      <c r="C148" t="s">
        <v>13</v>
      </c>
      <c r="D148" t="s">
        <v>14</v>
      </c>
      <c r="E148" t="s">
        <v>25</v>
      </c>
      <c r="F148">
        <v>30.14</v>
      </c>
      <c r="G148">
        <v>10</v>
      </c>
      <c r="H148">
        <v>15.07</v>
      </c>
      <c r="I148">
        <v>316.47000000000003</v>
      </c>
      <c r="J148" s="3">
        <v>43506</v>
      </c>
      <c r="K148">
        <v>9.1999999999999993</v>
      </c>
      <c r="L148" t="str" cm="1">
        <f t="array" ref="L148">_xlfn.IFS(Sales[[#This Row],[Rating]]&gt;8,"Super",Sales[[#This Row],[Rating]]&gt;=5,"Good",Sales[[#This Row],[Rating]]&lt;5,"Average")</f>
        <v>Super</v>
      </c>
      <c r="M148">
        <f t="shared" si="6"/>
        <v>2</v>
      </c>
      <c r="N148" t="str">
        <f t="shared" si="8"/>
        <v>Mar</v>
      </c>
      <c r="O148">
        <f t="shared" si="7"/>
        <v>2019</v>
      </c>
    </row>
    <row r="149" spans="1:15" x14ac:dyDescent="0.3">
      <c r="A149" t="s">
        <v>16</v>
      </c>
      <c r="B149" t="s">
        <v>17</v>
      </c>
      <c r="C149" t="s">
        <v>18</v>
      </c>
      <c r="D149" t="s">
        <v>26</v>
      </c>
      <c r="E149" t="s">
        <v>15</v>
      </c>
      <c r="F149">
        <v>66.14</v>
      </c>
      <c r="G149">
        <v>4</v>
      </c>
      <c r="H149">
        <v>13.228</v>
      </c>
      <c r="I149">
        <v>277.78800000000001</v>
      </c>
      <c r="J149" s="3">
        <v>43543</v>
      </c>
      <c r="K149">
        <v>5.6</v>
      </c>
      <c r="L149" t="str" cm="1">
        <f t="array" ref="L149">_xlfn.IFS(Sales[[#This Row],[Rating]]&gt;8,"Super",Sales[[#This Row],[Rating]]&gt;=5,"Good",Sales[[#This Row],[Rating]]&lt;5,"Average")</f>
        <v>Good</v>
      </c>
      <c r="M149">
        <f t="shared" si="6"/>
        <v>3</v>
      </c>
      <c r="N149" t="str">
        <f t="shared" si="8"/>
        <v>Feb</v>
      </c>
      <c r="O149">
        <f t="shared" si="7"/>
        <v>2019</v>
      </c>
    </row>
    <row r="150" spans="1:15" x14ac:dyDescent="0.3">
      <c r="A150" t="s">
        <v>22</v>
      </c>
      <c r="B150" t="s">
        <v>23</v>
      </c>
      <c r="C150" t="s">
        <v>13</v>
      </c>
      <c r="D150" t="s">
        <v>26</v>
      </c>
      <c r="E150" t="s">
        <v>20</v>
      </c>
      <c r="F150">
        <v>71.86</v>
      </c>
      <c r="G150">
        <v>8</v>
      </c>
      <c r="H150">
        <v>28.744</v>
      </c>
      <c r="I150">
        <v>603.62400000000002</v>
      </c>
      <c r="J150" s="3">
        <v>43530</v>
      </c>
      <c r="K150">
        <v>6.2</v>
      </c>
      <c r="L150" t="str" cm="1">
        <f t="array" ref="L150">_xlfn.IFS(Sales[[#This Row],[Rating]]&gt;8,"Super",Sales[[#This Row],[Rating]]&gt;=5,"Good",Sales[[#This Row],[Rating]]&lt;5,"Average")</f>
        <v>Good</v>
      </c>
      <c r="M150">
        <f t="shared" si="6"/>
        <v>3</v>
      </c>
      <c r="N150" t="str">
        <f t="shared" si="8"/>
        <v>Mar</v>
      </c>
      <c r="O150">
        <f t="shared" si="7"/>
        <v>2019</v>
      </c>
    </row>
    <row r="151" spans="1:15" x14ac:dyDescent="0.3">
      <c r="A151" t="s">
        <v>11</v>
      </c>
      <c r="B151" t="s">
        <v>12</v>
      </c>
      <c r="C151" t="s">
        <v>18</v>
      </c>
      <c r="D151" t="s">
        <v>26</v>
      </c>
      <c r="E151" t="s">
        <v>15</v>
      </c>
      <c r="F151">
        <v>32.46</v>
      </c>
      <c r="G151">
        <v>8</v>
      </c>
      <c r="H151">
        <v>12.984</v>
      </c>
      <c r="I151">
        <v>272.66399999999999</v>
      </c>
      <c r="J151" s="3">
        <v>43551</v>
      </c>
      <c r="K151">
        <v>4.9000000000000004</v>
      </c>
      <c r="L151" t="str" cm="1">
        <f t="array" ref="L151">_xlfn.IFS(Sales[[#This Row],[Rating]]&gt;8,"Super",Sales[[#This Row],[Rating]]&gt;=5,"Good",Sales[[#This Row],[Rating]]&lt;5,"Average")</f>
        <v>Average</v>
      </c>
      <c r="M151">
        <f t="shared" si="6"/>
        <v>3</v>
      </c>
      <c r="N151" t="str">
        <f t="shared" si="8"/>
        <v>Mar</v>
      </c>
      <c r="O151">
        <f t="shared" si="7"/>
        <v>2019</v>
      </c>
    </row>
    <row r="152" spans="1:15" x14ac:dyDescent="0.3">
      <c r="A152" t="s">
        <v>22</v>
      </c>
      <c r="B152" t="s">
        <v>23</v>
      </c>
      <c r="C152" t="s">
        <v>13</v>
      </c>
      <c r="D152" t="s">
        <v>14</v>
      </c>
      <c r="E152" t="s">
        <v>25</v>
      </c>
      <c r="F152">
        <v>91.54</v>
      </c>
      <c r="G152">
        <v>4</v>
      </c>
      <c r="H152">
        <v>18.308</v>
      </c>
      <c r="I152">
        <v>384.46800000000002</v>
      </c>
      <c r="J152" s="3">
        <v>43547</v>
      </c>
      <c r="K152">
        <v>4.8</v>
      </c>
      <c r="L152" t="str" cm="1">
        <f t="array" ref="L152">_xlfn.IFS(Sales[[#This Row],[Rating]]&gt;8,"Super",Sales[[#This Row],[Rating]]&gt;=5,"Good",Sales[[#This Row],[Rating]]&lt;5,"Average")</f>
        <v>Average</v>
      </c>
      <c r="M152">
        <f t="shared" si="6"/>
        <v>3</v>
      </c>
      <c r="N152" t="str">
        <f t="shared" si="8"/>
        <v>Mar</v>
      </c>
      <c r="O152">
        <f t="shared" si="7"/>
        <v>2019</v>
      </c>
    </row>
    <row r="153" spans="1:15" x14ac:dyDescent="0.3">
      <c r="A153" t="s">
        <v>16</v>
      </c>
      <c r="B153" t="s">
        <v>17</v>
      </c>
      <c r="C153" t="s">
        <v>13</v>
      </c>
      <c r="D153" t="s">
        <v>26</v>
      </c>
      <c r="E153" t="s">
        <v>21</v>
      </c>
      <c r="F153">
        <v>34.56</v>
      </c>
      <c r="G153">
        <v>7</v>
      </c>
      <c r="H153">
        <v>12.096</v>
      </c>
      <c r="I153">
        <v>254.01599999999999</v>
      </c>
      <c r="J153" s="3">
        <v>43535</v>
      </c>
      <c r="K153">
        <v>7.3</v>
      </c>
      <c r="L153" t="str" cm="1">
        <f t="array" ref="L153">_xlfn.IFS(Sales[[#This Row],[Rating]]&gt;8,"Super",Sales[[#This Row],[Rating]]&gt;=5,"Good",Sales[[#This Row],[Rating]]&lt;5,"Average")</f>
        <v>Good</v>
      </c>
      <c r="M153">
        <f t="shared" si="6"/>
        <v>3</v>
      </c>
      <c r="N153" t="str">
        <f t="shared" si="8"/>
        <v>Mar</v>
      </c>
      <c r="O153">
        <f t="shared" si="7"/>
        <v>2019</v>
      </c>
    </row>
    <row r="154" spans="1:15" x14ac:dyDescent="0.3">
      <c r="A154" t="s">
        <v>11</v>
      </c>
      <c r="B154" t="s">
        <v>12</v>
      </c>
      <c r="C154" t="s">
        <v>18</v>
      </c>
      <c r="D154" t="s">
        <v>26</v>
      </c>
      <c r="E154" t="s">
        <v>25</v>
      </c>
      <c r="F154">
        <v>83.24</v>
      </c>
      <c r="G154">
        <v>9</v>
      </c>
      <c r="H154">
        <v>37.457999999999998</v>
      </c>
      <c r="I154">
        <v>786.61800000000005</v>
      </c>
      <c r="J154" s="3">
        <v>43494</v>
      </c>
      <c r="K154">
        <v>7.4</v>
      </c>
      <c r="L154" t="str" cm="1">
        <f t="array" ref="L154">_xlfn.IFS(Sales[[#This Row],[Rating]]&gt;8,"Super",Sales[[#This Row],[Rating]]&gt;=5,"Good",Sales[[#This Row],[Rating]]&lt;5,"Average")</f>
        <v>Good</v>
      </c>
      <c r="M154">
        <f t="shared" si="6"/>
        <v>1</v>
      </c>
      <c r="N154" t="str">
        <f t="shared" si="8"/>
        <v>Mar</v>
      </c>
      <c r="O154">
        <f t="shared" si="7"/>
        <v>2019</v>
      </c>
    </row>
    <row r="155" spans="1:15" x14ac:dyDescent="0.3">
      <c r="A155" t="s">
        <v>16</v>
      </c>
      <c r="B155" t="s">
        <v>17</v>
      </c>
      <c r="C155" t="s">
        <v>18</v>
      </c>
      <c r="D155" t="s">
        <v>14</v>
      </c>
      <c r="E155" t="s">
        <v>24</v>
      </c>
      <c r="F155">
        <v>16.48</v>
      </c>
      <c r="G155">
        <v>6</v>
      </c>
      <c r="H155">
        <v>4.944</v>
      </c>
      <c r="I155">
        <v>103.824</v>
      </c>
      <c r="J155" s="3">
        <v>43503</v>
      </c>
      <c r="K155">
        <v>9.9</v>
      </c>
      <c r="L155" t="str" cm="1">
        <f t="array" ref="L155">_xlfn.IFS(Sales[[#This Row],[Rating]]&gt;8,"Super",Sales[[#This Row],[Rating]]&gt;=5,"Good",Sales[[#This Row],[Rating]]&lt;5,"Average")</f>
        <v>Super</v>
      </c>
      <c r="M155">
        <f t="shared" si="6"/>
        <v>2</v>
      </c>
      <c r="N155" t="str">
        <f t="shared" si="8"/>
        <v>Jan</v>
      </c>
      <c r="O155">
        <f t="shared" si="7"/>
        <v>2019</v>
      </c>
    </row>
    <row r="156" spans="1:15" x14ac:dyDescent="0.3">
      <c r="A156" t="s">
        <v>16</v>
      </c>
      <c r="B156" t="s">
        <v>17</v>
      </c>
      <c r="C156" t="s">
        <v>18</v>
      </c>
      <c r="D156" t="s">
        <v>14</v>
      </c>
      <c r="E156" t="s">
        <v>21</v>
      </c>
      <c r="F156">
        <v>80.97</v>
      </c>
      <c r="G156">
        <v>8</v>
      </c>
      <c r="H156">
        <v>32.387999999999998</v>
      </c>
      <c r="I156">
        <v>680.14800000000002</v>
      </c>
      <c r="J156" s="3">
        <v>43493</v>
      </c>
      <c r="K156">
        <v>9.3000000000000007</v>
      </c>
      <c r="L156" t="str" cm="1">
        <f t="array" ref="L156">_xlfn.IFS(Sales[[#This Row],[Rating]]&gt;8,"Super",Sales[[#This Row],[Rating]]&gt;=5,"Good",Sales[[#This Row],[Rating]]&lt;5,"Average")</f>
        <v>Super</v>
      </c>
      <c r="M156">
        <f t="shared" si="6"/>
        <v>1</v>
      </c>
      <c r="N156" t="str">
        <f t="shared" si="8"/>
        <v>Feb</v>
      </c>
      <c r="O156">
        <f t="shared" si="7"/>
        <v>2019</v>
      </c>
    </row>
    <row r="157" spans="1:15" x14ac:dyDescent="0.3">
      <c r="A157" t="s">
        <v>11</v>
      </c>
      <c r="B157" t="s">
        <v>12</v>
      </c>
      <c r="C157" t="s">
        <v>13</v>
      </c>
      <c r="D157" t="s">
        <v>26</v>
      </c>
      <c r="E157" t="s">
        <v>24</v>
      </c>
      <c r="F157">
        <v>92.29</v>
      </c>
      <c r="G157">
        <v>5</v>
      </c>
      <c r="H157">
        <v>23.072500000000002</v>
      </c>
      <c r="I157">
        <v>484.52249999999998</v>
      </c>
      <c r="J157" s="3">
        <v>43516</v>
      </c>
      <c r="K157">
        <v>9</v>
      </c>
      <c r="L157" t="str" cm="1">
        <f t="array" ref="L157">_xlfn.IFS(Sales[[#This Row],[Rating]]&gt;8,"Super",Sales[[#This Row],[Rating]]&gt;=5,"Good",Sales[[#This Row],[Rating]]&lt;5,"Average")</f>
        <v>Super</v>
      </c>
      <c r="M157">
        <f t="shared" si="6"/>
        <v>2</v>
      </c>
      <c r="N157" t="str">
        <f t="shared" si="8"/>
        <v>Jan</v>
      </c>
      <c r="O157">
        <f t="shared" si="7"/>
        <v>2019</v>
      </c>
    </row>
    <row r="158" spans="1:15" x14ac:dyDescent="0.3">
      <c r="A158" t="s">
        <v>22</v>
      </c>
      <c r="B158" t="s">
        <v>23</v>
      </c>
      <c r="C158" t="s">
        <v>13</v>
      </c>
      <c r="D158" t="s">
        <v>26</v>
      </c>
      <c r="E158" t="s">
        <v>19</v>
      </c>
      <c r="F158">
        <v>72.17</v>
      </c>
      <c r="G158">
        <v>1</v>
      </c>
      <c r="H158">
        <v>3.6084999999999998</v>
      </c>
      <c r="I158">
        <v>75.778499999999994</v>
      </c>
      <c r="J158" s="3">
        <v>43469</v>
      </c>
      <c r="K158">
        <v>6.1</v>
      </c>
      <c r="L158" t="str" cm="1">
        <f t="array" ref="L158">_xlfn.IFS(Sales[[#This Row],[Rating]]&gt;8,"Super",Sales[[#This Row],[Rating]]&gt;=5,"Good",Sales[[#This Row],[Rating]]&lt;5,"Average")</f>
        <v>Good</v>
      </c>
      <c r="M158">
        <f t="shared" si="6"/>
        <v>1</v>
      </c>
      <c r="N158" t="str">
        <f t="shared" si="8"/>
        <v>Feb</v>
      </c>
      <c r="O158">
        <f t="shared" si="7"/>
        <v>2019</v>
      </c>
    </row>
    <row r="159" spans="1:15" x14ac:dyDescent="0.3">
      <c r="A159" t="s">
        <v>22</v>
      </c>
      <c r="B159" t="s">
        <v>23</v>
      </c>
      <c r="C159" t="s">
        <v>18</v>
      </c>
      <c r="D159" t="s">
        <v>26</v>
      </c>
      <c r="E159" t="s">
        <v>20</v>
      </c>
      <c r="F159">
        <v>50.28</v>
      </c>
      <c r="G159">
        <v>5</v>
      </c>
      <c r="H159">
        <v>12.57</v>
      </c>
      <c r="I159">
        <v>263.97000000000003</v>
      </c>
      <c r="J159" s="3">
        <v>43531</v>
      </c>
      <c r="K159">
        <v>9.6999999999999993</v>
      </c>
      <c r="L159" t="str" cm="1">
        <f t="array" ref="L159">_xlfn.IFS(Sales[[#This Row],[Rating]]&gt;8,"Super",Sales[[#This Row],[Rating]]&gt;=5,"Good",Sales[[#This Row],[Rating]]&lt;5,"Average")</f>
        <v>Super</v>
      </c>
      <c r="M159">
        <f t="shared" si="6"/>
        <v>3</v>
      </c>
      <c r="N159" t="str">
        <f t="shared" si="8"/>
        <v>Jan</v>
      </c>
      <c r="O159">
        <f t="shared" si="7"/>
        <v>2019</v>
      </c>
    </row>
    <row r="160" spans="1:15" x14ac:dyDescent="0.3">
      <c r="A160" t="s">
        <v>22</v>
      </c>
      <c r="B160" t="s">
        <v>23</v>
      </c>
      <c r="C160" t="s">
        <v>13</v>
      </c>
      <c r="D160" t="s">
        <v>26</v>
      </c>
      <c r="E160" t="s">
        <v>15</v>
      </c>
      <c r="F160">
        <v>97.22</v>
      </c>
      <c r="G160">
        <v>9</v>
      </c>
      <c r="H160">
        <v>43.749000000000002</v>
      </c>
      <c r="I160">
        <v>918.72900000000004</v>
      </c>
      <c r="J160" s="3">
        <v>43554</v>
      </c>
      <c r="K160">
        <v>6</v>
      </c>
      <c r="L160" t="str" cm="1">
        <f t="array" ref="L160">_xlfn.IFS(Sales[[#This Row],[Rating]]&gt;8,"Super",Sales[[#This Row],[Rating]]&gt;=5,"Good",Sales[[#This Row],[Rating]]&lt;5,"Average")</f>
        <v>Good</v>
      </c>
      <c r="M160">
        <f t="shared" si="6"/>
        <v>3</v>
      </c>
      <c r="N160" t="str">
        <f t="shared" si="8"/>
        <v>Mar</v>
      </c>
      <c r="O160">
        <f t="shared" si="7"/>
        <v>2019</v>
      </c>
    </row>
    <row r="161" spans="1:15" x14ac:dyDescent="0.3">
      <c r="A161" t="s">
        <v>22</v>
      </c>
      <c r="B161" t="s">
        <v>23</v>
      </c>
      <c r="C161" t="s">
        <v>18</v>
      </c>
      <c r="D161" t="s">
        <v>26</v>
      </c>
      <c r="E161" t="s">
        <v>21</v>
      </c>
      <c r="F161">
        <v>93.39</v>
      </c>
      <c r="G161">
        <v>6</v>
      </c>
      <c r="H161">
        <v>28.016999999999999</v>
      </c>
      <c r="I161">
        <v>588.35699999999997</v>
      </c>
      <c r="J161" s="3">
        <v>43551</v>
      </c>
      <c r="K161">
        <v>10</v>
      </c>
      <c r="L161" t="str" cm="1">
        <f t="array" ref="L161">_xlfn.IFS(Sales[[#This Row],[Rating]]&gt;8,"Super",Sales[[#This Row],[Rating]]&gt;=5,"Good",Sales[[#This Row],[Rating]]&lt;5,"Average")</f>
        <v>Super</v>
      </c>
      <c r="M161">
        <f t="shared" si="6"/>
        <v>3</v>
      </c>
      <c r="N161" t="str">
        <f t="shared" si="8"/>
        <v>Mar</v>
      </c>
      <c r="O161">
        <f t="shared" si="7"/>
        <v>2019</v>
      </c>
    </row>
    <row r="162" spans="1:15" x14ac:dyDescent="0.3">
      <c r="A162" t="s">
        <v>16</v>
      </c>
      <c r="B162" t="s">
        <v>17</v>
      </c>
      <c r="C162" t="s">
        <v>18</v>
      </c>
      <c r="D162" t="s">
        <v>14</v>
      </c>
      <c r="E162" t="s">
        <v>24</v>
      </c>
      <c r="F162">
        <v>43.18</v>
      </c>
      <c r="G162">
        <v>8</v>
      </c>
      <c r="H162">
        <v>17.271999999999998</v>
      </c>
      <c r="I162">
        <v>362.71199999999999</v>
      </c>
      <c r="J162" s="3">
        <v>43484</v>
      </c>
      <c r="K162">
        <v>8.3000000000000007</v>
      </c>
      <c r="L162" t="str" cm="1">
        <f t="array" ref="L162">_xlfn.IFS(Sales[[#This Row],[Rating]]&gt;8,"Super",Sales[[#This Row],[Rating]]&gt;=5,"Good",Sales[[#This Row],[Rating]]&lt;5,"Average")</f>
        <v>Super</v>
      </c>
      <c r="M162">
        <f t="shared" si="6"/>
        <v>1</v>
      </c>
      <c r="N162" t="str">
        <f t="shared" si="8"/>
        <v>Mar</v>
      </c>
      <c r="O162">
        <f t="shared" si="7"/>
        <v>2019</v>
      </c>
    </row>
    <row r="163" spans="1:15" x14ac:dyDescent="0.3">
      <c r="A163" t="s">
        <v>11</v>
      </c>
      <c r="B163" t="s">
        <v>12</v>
      </c>
      <c r="C163" t="s">
        <v>18</v>
      </c>
      <c r="D163" t="s">
        <v>26</v>
      </c>
      <c r="E163" t="s">
        <v>21</v>
      </c>
      <c r="F163">
        <v>63.69</v>
      </c>
      <c r="G163">
        <v>1</v>
      </c>
      <c r="H163">
        <v>3.1844999999999999</v>
      </c>
      <c r="I163">
        <v>66.874499999999998</v>
      </c>
      <c r="J163" s="3">
        <v>43521</v>
      </c>
      <c r="K163">
        <v>6</v>
      </c>
      <c r="L163" t="str" cm="1">
        <f t="array" ref="L163">_xlfn.IFS(Sales[[#This Row],[Rating]]&gt;8,"Super",Sales[[#This Row],[Rating]]&gt;=5,"Good",Sales[[#This Row],[Rating]]&lt;5,"Average")</f>
        <v>Good</v>
      </c>
      <c r="M163">
        <f t="shared" si="6"/>
        <v>2</v>
      </c>
      <c r="N163" t="str">
        <f t="shared" si="8"/>
        <v>Jan</v>
      </c>
      <c r="O163">
        <f t="shared" si="7"/>
        <v>2019</v>
      </c>
    </row>
    <row r="164" spans="1:15" x14ac:dyDescent="0.3">
      <c r="A164" t="s">
        <v>11</v>
      </c>
      <c r="B164" t="s">
        <v>12</v>
      </c>
      <c r="C164" t="s">
        <v>18</v>
      </c>
      <c r="D164" t="s">
        <v>26</v>
      </c>
      <c r="E164" t="s">
        <v>24</v>
      </c>
      <c r="F164">
        <v>45.79</v>
      </c>
      <c r="G164">
        <v>7</v>
      </c>
      <c r="H164">
        <v>16.026499999999999</v>
      </c>
      <c r="I164">
        <v>336.55650000000003</v>
      </c>
      <c r="J164" s="3">
        <v>43537</v>
      </c>
      <c r="K164">
        <v>7</v>
      </c>
      <c r="L164" t="str" cm="1">
        <f t="array" ref="L164">_xlfn.IFS(Sales[[#This Row],[Rating]]&gt;8,"Super",Sales[[#This Row],[Rating]]&gt;=5,"Good",Sales[[#This Row],[Rating]]&lt;5,"Average")</f>
        <v>Good</v>
      </c>
      <c r="M164">
        <f t="shared" si="6"/>
        <v>3</v>
      </c>
      <c r="N164" t="str">
        <f t="shared" si="8"/>
        <v>Feb</v>
      </c>
      <c r="O164">
        <f t="shared" si="7"/>
        <v>2019</v>
      </c>
    </row>
    <row r="165" spans="1:15" x14ac:dyDescent="0.3">
      <c r="A165" t="s">
        <v>16</v>
      </c>
      <c r="B165" t="s">
        <v>17</v>
      </c>
      <c r="C165" t="s">
        <v>18</v>
      </c>
      <c r="D165" t="s">
        <v>26</v>
      </c>
      <c r="E165" t="s">
        <v>21</v>
      </c>
      <c r="F165">
        <v>76.400000000000006</v>
      </c>
      <c r="G165">
        <v>2</v>
      </c>
      <c r="H165">
        <v>7.64</v>
      </c>
      <c r="I165">
        <v>160.44</v>
      </c>
      <c r="J165" s="3">
        <v>43495</v>
      </c>
      <c r="K165">
        <v>6.5</v>
      </c>
      <c r="L165" t="str" cm="1">
        <f t="array" ref="L165">_xlfn.IFS(Sales[[#This Row],[Rating]]&gt;8,"Super",Sales[[#This Row],[Rating]]&gt;=5,"Good",Sales[[#This Row],[Rating]]&lt;5,"Average")</f>
        <v>Good</v>
      </c>
      <c r="M165">
        <f t="shared" si="6"/>
        <v>1</v>
      </c>
      <c r="N165" t="str">
        <f t="shared" si="8"/>
        <v>Mar</v>
      </c>
      <c r="O165">
        <f t="shared" si="7"/>
        <v>2019</v>
      </c>
    </row>
    <row r="166" spans="1:15" x14ac:dyDescent="0.3">
      <c r="A166" t="s">
        <v>22</v>
      </c>
      <c r="B166" t="s">
        <v>23</v>
      </c>
      <c r="C166" t="s">
        <v>18</v>
      </c>
      <c r="D166" t="s">
        <v>26</v>
      </c>
      <c r="E166" t="s">
        <v>24</v>
      </c>
      <c r="F166">
        <v>39.9</v>
      </c>
      <c r="G166">
        <v>10</v>
      </c>
      <c r="H166">
        <v>19.95</v>
      </c>
      <c r="I166">
        <v>418.95</v>
      </c>
      <c r="J166" s="3">
        <v>43516</v>
      </c>
      <c r="K166">
        <v>5.9</v>
      </c>
      <c r="L166" t="str" cm="1">
        <f t="array" ref="L166">_xlfn.IFS(Sales[[#This Row],[Rating]]&gt;8,"Super",Sales[[#This Row],[Rating]]&gt;=5,"Good",Sales[[#This Row],[Rating]]&lt;5,"Average")</f>
        <v>Good</v>
      </c>
      <c r="M166">
        <f t="shared" si="6"/>
        <v>2</v>
      </c>
      <c r="N166" t="str">
        <f t="shared" si="8"/>
        <v>Jan</v>
      </c>
      <c r="O166">
        <f t="shared" si="7"/>
        <v>2019</v>
      </c>
    </row>
    <row r="167" spans="1:15" x14ac:dyDescent="0.3">
      <c r="A167" t="s">
        <v>22</v>
      </c>
      <c r="B167" t="s">
        <v>23</v>
      </c>
      <c r="C167" t="s">
        <v>13</v>
      </c>
      <c r="D167" t="s">
        <v>26</v>
      </c>
      <c r="E167" t="s">
        <v>15</v>
      </c>
      <c r="F167">
        <v>42.57</v>
      </c>
      <c r="G167">
        <v>8</v>
      </c>
      <c r="H167">
        <v>17.027999999999999</v>
      </c>
      <c r="I167">
        <v>357.58800000000002</v>
      </c>
      <c r="J167" s="3">
        <v>43521</v>
      </c>
      <c r="K167">
        <v>5.6</v>
      </c>
      <c r="L167" t="str" cm="1">
        <f t="array" ref="L167">_xlfn.IFS(Sales[[#This Row],[Rating]]&gt;8,"Super",Sales[[#This Row],[Rating]]&gt;=5,"Good",Sales[[#This Row],[Rating]]&lt;5,"Average")</f>
        <v>Good</v>
      </c>
      <c r="M167">
        <f t="shared" si="6"/>
        <v>2</v>
      </c>
      <c r="N167" t="str">
        <f t="shared" si="8"/>
        <v>Feb</v>
      </c>
      <c r="O167">
        <f t="shared" si="7"/>
        <v>2019</v>
      </c>
    </row>
    <row r="168" spans="1:15" x14ac:dyDescent="0.3">
      <c r="A168" t="s">
        <v>16</v>
      </c>
      <c r="B168" t="s">
        <v>17</v>
      </c>
      <c r="C168" t="s">
        <v>18</v>
      </c>
      <c r="D168" t="s">
        <v>26</v>
      </c>
      <c r="E168" t="s">
        <v>20</v>
      </c>
      <c r="F168">
        <v>95.58</v>
      </c>
      <c r="G168">
        <v>10</v>
      </c>
      <c r="H168">
        <v>47.79</v>
      </c>
      <c r="I168">
        <v>1003.59</v>
      </c>
      <c r="J168" s="3">
        <v>43481</v>
      </c>
      <c r="K168">
        <v>4.8</v>
      </c>
      <c r="L168" t="str" cm="1">
        <f t="array" ref="L168">_xlfn.IFS(Sales[[#This Row],[Rating]]&gt;8,"Super",Sales[[#This Row],[Rating]]&gt;=5,"Good",Sales[[#This Row],[Rating]]&lt;5,"Average")</f>
        <v>Average</v>
      </c>
      <c r="M168">
        <f t="shared" si="6"/>
        <v>1</v>
      </c>
      <c r="N168" t="str">
        <f t="shared" si="8"/>
        <v>Feb</v>
      </c>
      <c r="O168">
        <f t="shared" si="7"/>
        <v>2019</v>
      </c>
    </row>
    <row r="169" spans="1:15" x14ac:dyDescent="0.3">
      <c r="A169" t="s">
        <v>11</v>
      </c>
      <c r="B169" t="s">
        <v>12</v>
      </c>
      <c r="C169" t="s">
        <v>18</v>
      </c>
      <c r="D169" t="s">
        <v>26</v>
      </c>
      <c r="E169" t="s">
        <v>25</v>
      </c>
      <c r="F169">
        <v>98.98</v>
      </c>
      <c r="G169">
        <v>10</v>
      </c>
      <c r="H169">
        <v>49.49</v>
      </c>
      <c r="I169">
        <v>1039.29</v>
      </c>
      <c r="J169" s="3">
        <v>43504</v>
      </c>
      <c r="K169">
        <v>8.6999999999999993</v>
      </c>
      <c r="L169" t="str" cm="1">
        <f t="array" ref="L169">_xlfn.IFS(Sales[[#This Row],[Rating]]&gt;8,"Super",Sales[[#This Row],[Rating]]&gt;=5,"Good",Sales[[#This Row],[Rating]]&lt;5,"Average")</f>
        <v>Super</v>
      </c>
      <c r="M169">
        <f t="shared" si="6"/>
        <v>2</v>
      </c>
      <c r="N169" t="str">
        <f t="shared" si="8"/>
        <v>Jan</v>
      </c>
      <c r="O169">
        <f t="shared" si="7"/>
        <v>2019</v>
      </c>
    </row>
    <row r="170" spans="1:15" x14ac:dyDescent="0.3">
      <c r="A170" t="s">
        <v>11</v>
      </c>
      <c r="B170" t="s">
        <v>12</v>
      </c>
      <c r="C170" t="s">
        <v>18</v>
      </c>
      <c r="D170" t="s">
        <v>26</v>
      </c>
      <c r="E170" t="s">
        <v>24</v>
      </c>
      <c r="F170">
        <v>51.28</v>
      </c>
      <c r="G170">
        <v>6</v>
      </c>
      <c r="H170">
        <v>15.384</v>
      </c>
      <c r="I170">
        <v>323.06400000000002</v>
      </c>
      <c r="J170" s="3">
        <v>43484</v>
      </c>
      <c r="K170">
        <v>6.5</v>
      </c>
      <c r="L170" t="str" cm="1">
        <f t="array" ref="L170">_xlfn.IFS(Sales[[#This Row],[Rating]]&gt;8,"Super",Sales[[#This Row],[Rating]]&gt;=5,"Good",Sales[[#This Row],[Rating]]&lt;5,"Average")</f>
        <v>Good</v>
      </c>
      <c r="M170">
        <f t="shared" si="6"/>
        <v>1</v>
      </c>
      <c r="N170" t="str">
        <f t="shared" si="8"/>
        <v>Feb</v>
      </c>
      <c r="O170">
        <f t="shared" si="7"/>
        <v>2019</v>
      </c>
    </row>
    <row r="171" spans="1:15" x14ac:dyDescent="0.3">
      <c r="A171" t="s">
        <v>11</v>
      </c>
      <c r="B171" t="s">
        <v>12</v>
      </c>
      <c r="C171" t="s">
        <v>13</v>
      </c>
      <c r="D171" t="s">
        <v>26</v>
      </c>
      <c r="E171" t="s">
        <v>21</v>
      </c>
      <c r="F171">
        <v>69.52</v>
      </c>
      <c r="G171">
        <v>7</v>
      </c>
      <c r="H171">
        <v>24.332000000000001</v>
      </c>
      <c r="I171">
        <v>510.97199999999998</v>
      </c>
      <c r="J171" s="3">
        <v>43497</v>
      </c>
      <c r="K171">
        <v>8.5</v>
      </c>
      <c r="L171" t="str" cm="1">
        <f t="array" ref="L171">_xlfn.IFS(Sales[[#This Row],[Rating]]&gt;8,"Super",Sales[[#This Row],[Rating]]&gt;=5,"Good",Sales[[#This Row],[Rating]]&lt;5,"Average")</f>
        <v>Super</v>
      </c>
      <c r="M171">
        <f t="shared" si="6"/>
        <v>2</v>
      </c>
      <c r="N171" t="str">
        <f t="shared" si="8"/>
        <v>Jan</v>
      </c>
      <c r="O171">
        <f t="shared" si="7"/>
        <v>2019</v>
      </c>
    </row>
    <row r="172" spans="1:15" x14ac:dyDescent="0.3">
      <c r="A172" t="s">
        <v>11</v>
      </c>
      <c r="B172" t="s">
        <v>12</v>
      </c>
      <c r="C172" t="s">
        <v>18</v>
      </c>
      <c r="D172" t="s">
        <v>26</v>
      </c>
      <c r="E172" t="s">
        <v>15</v>
      </c>
      <c r="F172">
        <v>70.010000000000005</v>
      </c>
      <c r="G172">
        <v>5</v>
      </c>
      <c r="H172">
        <v>17.502500000000001</v>
      </c>
      <c r="I172">
        <v>367.55250000000001</v>
      </c>
      <c r="J172" s="3">
        <v>43468</v>
      </c>
      <c r="K172">
        <v>5.5</v>
      </c>
      <c r="L172" t="str" cm="1">
        <f t="array" ref="L172">_xlfn.IFS(Sales[[#This Row],[Rating]]&gt;8,"Super",Sales[[#This Row],[Rating]]&gt;=5,"Good",Sales[[#This Row],[Rating]]&lt;5,"Average")</f>
        <v>Good</v>
      </c>
      <c r="M172">
        <f t="shared" si="6"/>
        <v>1</v>
      </c>
      <c r="N172" t="str">
        <f t="shared" si="8"/>
        <v>Feb</v>
      </c>
      <c r="O172">
        <f t="shared" si="7"/>
        <v>2019</v>
      </c>
    </row>
    <row r="173" spans="1:15" x14ac:dyDescent="0.3">
      <c r="A173" t="s">
        <v>22</v>
      </c>
      <c r="B173" t="s">
        <v>23</v>
      </c>
      <c r="C173" t="s">
        <v>13</v>
      </c>
      <c r="D173" t="s">
        <v>26</v>
      </c>
      <c r="E173" t="s">
        <v>24</v>
      </c>
      <c r="F173">
        <v>80.05</v>
      </c>
      <c r="G173">
        <v>5</v>
      </c>
      <c r="H173">
        <v>20.012499999999999</v>
      </c>
      <c r="I173">
        <v>420.26249999999999</v>
      </c>
      <c r="J173" s="3">
        <v>43491</v>
      </c>
      <c r="K173">
        <v>9.4</v>
      </c>
      <c r="L173" t="str" cm="1">
        <f t="array" ref="L173">_xlfn.IFS(Sales[[#This Row],[Rating]]&gt;8,"Super",Sales[[#This Row],[Rating]]&gt;=5,"Good",Sales[[#This Row],[Rating]]&lt;5,"Average")</f>
        <v>Super</v>
      </c>
      <c r="M173">
        <f t="shared" si="6"/>
        <v>1</v>
      </c>
      <c r="N173" t="str">
        <f t="shared" si="8"/>
        <v>Jan</v>
      </c>
      <c r="O173">
        <f t="shared" si="7"/>
        <v>2019</v>
      </c>
    </row>
    <row r="174" spans="1:15" x14ac:dyDescent="0.3">
      <c r="A174" t="s">
        <v>16</v>
      </c>
      <c r="B174" t="s">
        <v>17</v>
      </c>
      <c r="C174" t="s">
        <v>18</v>
      </c>
      <c r="D174" t="s">
        <v>26</v>
      </c>
      <c r="E174" t="s">
        <v>19</v>
      </c>
      <c r="F174">
        <v>20.85</v>
      </c>
      <c r="G174">
        <v>8</v>
      </c>
      <c r="H174">
        <v>8.34</v>
      </c>
      <c r="I174">
        <v>175.14</v>
      </c>
      <c r="J174" s="3">
        <v>43527</v>
      </c>
      <c r="K174">
        <v>6.3</v>
      </c>
      <c r="L174" t="str" cm="1">
        <f t="array" ref="L174">_xlfn.IFS(Sales[[#This Row],[Rating]]&gt;8,"Super",Sales[[#This Row],[Rating]]&gt;=5,"Good",Sales[[#This Row],[Rating]]&lt;5,"Average")</f>
        <v>Good</v>
      </c>
      <c r="M174">
        <f t="shared" si="6"/>
        <v>3</v>
      </c>
      <c r="N174" t="str">
        <f t="shared" si="8"/>
        <v>Jan</v>
      </c>
      <c r="O174">
        <f t="shared" si="7"/>
        <v>2019</v>
      </c>
    </row>
    <row r="175" spans="1:15" x14ac:dyDescent="0.3">
      <c r="A175" t="s">
        <v>22</v>
      </c>
      <c r="B175" t="s">
        <v>23</v>
      </c>
      <c r="C175" t="s">
        <v>13</v>
      </c>
      <c r="D175" t="s">
        <v>26</v>
      </c>
      <c r="E175" t="s">
        <v>19</v>
      </c>
      <c r="F175">
        <v>52.89</v>
      </c>
      <c r="G175">
        <v>6</v>
      </c>
      <c r="H175">
        <v>15.867000000000001</v>
      </c>
      <c r="I175">
        <v>333.20699999999999</v>
      </c>
      <c r="J175" s="3">
        <v>43484</v>
      </c>
      <c r="K175">
        <v>9.8000000000000007</v>
      </c>
      <c r="L175" t="str" cm="1">
        <f t="array" ref="L175">_xlfn.IFS(Sales[[#This Row],[Rating]]&gt;8,"Super",Sales[[#This Row],[Rating]]&gt;=5,"Good",Sales[[#This Row],[Rating]]&lt;5,"Average")</f>
        <v>Super</v>
      </c>
      <c r="M175">
        <f t="shared" si="6"/>
        <v>1</v>
      </c>
      <c r="N175" t="str">
        <f t="shared" si="8"/>
        <v>Mar</v>
      </c>
      <c r="O175">
        <f t="shared" si="7"/>
        <v>2019</v>
      </c>
    </row>
    <row r="176" spans="1:15" x14ac:dyDescent="0.3">
      <c r="A176" t="s">
        <v>22</v>
      </c>
      <c r="B176" t="s">
        <v>23</v>
      </c>
      <c r="C176" t="s">
        <v>18</v>
      </c>
      <c r="D176" t="s">
        <v>26</v>
      </c>
      <c r="E176" t="s">
        <v>24</v>
      </c>
      <c r="F176">
        <v>19.79</v>
      </c>
      <c r="G176">
        <v>8</v>
      </c>
      <c r="H176">
        <v>7.9160000000000004</v>
      </c>
      <c r="I176">
        <v>166.23599999999999</v>
      </c>
      <c r="J176" s="3">
        <v>43483</v>
      </c>
      <c r="K176">
        <v>8.6999999999999993</v>
      </c>
      <c r="L176" t="str" cm="1">
        <f t="array" ref="L176">_xlfn.IFS(Sales[[#This Row],[Rating]]&gt;8,"Super",Sales[[#This Row],[Rating]]&gt;=5,"Good",Sales[[#This Row],[Rating]]&lt;5,"Average")</f>
        <v>Super</v>
      </c>
      <c r="M176">
        <f t="shared" si="6"/>
        <v>1</v>
      </c>
      <c r="N176" t="str">
        <f t="shared" si="8"/>
        <v>Jan</v>
      </c>
      <c r="O176">
        <f t="shared" si="7"/>
        <v>2019</v>
      </c>
    </row>
    <row r="177" spans="1:15" x14ac:dyDescent="0.3">
      <c r="A177" t="s">
        <v>11</v>
      </c>
      <c r="B177" t="s">
        <v>12</v>
      </c>
      <c r="C177" t="s">
        <v>13</v>
      </c>
      <c r="D177" t="s">
        <v>26</v>
      </c>
      <c r="E177" t="s">
        <v>20</v>
      </c>
      <c r="F177">
        <v>33.840000000000003</v>
      </c>
      <c r="G177">
        <v>9</v>
      </c>
      <c r="H177">
        <v>15.228</v>
      </c>
      <c r="I177">
        <v>319.78800000000001</v>
      </c>
      <c r="J177" s="3">
        <v>43545</v>
      </c>
      <c r="K177">
        <v>8.8000000000000007</v>
      </c>
      <c r="L177" t="str" cm="1">
        <f t="array" ref="L177">_xlfn.IFS(Sales[[#This Row],[Rating]]&gt;8,"Super",Sales[[#This Row],[Rating]]&gt;=5,"Good",Sales[[#This Row],[Rating]]&lt;5,"Average")</f>
        <v>Super</v>
      </c>
      <c r="M177">
        <f t="shared" si="6"/>
        <v>3</v>
      </c>
      <c r="N177" t="str">
        <f t="shared" si="8"/>
        <v>Jan</v>
      </c>
      <c r="O177">
        <f t="shared" si="7"/>
        <v>2019</v>
      </c>
    </row>
    <row r="178" spans="1:15" x14ac:dyDescent="0.3">
      <c r="A178" t="s">
        <v>11</v>
      </c>
      <c r="B178" t="s">
        <v>12</v>
      </c>
      <c r="C178" t="s">
        <v>13</v>
      </c>
      <c r="D178" t="s">
        <v>26</v>
      </c>
      <c r="E178" t="s">
        <v>24</v>
      </c>
      <c r="F178">
        <v>22.17</v>
      </c>
      <c r="G178">
        <v>8</v>
      </c>
      <c r="H178">
        <v>8.8680000000000003</v>
      </c>
      <c r="I178">
        <v>186.22800000000001</v>
      </c>
      <c r="J178" s="3">
        <v>43527</v>
      </c>
      <c r="K178">
        <v>9.6</v>
      </c>
      <c r="L178" t="str" cm="1">
        <f t="array" ref="L178">_xlfn.IFS(Sales[[#This Row],[Rating]]&gt;8,"Super",Sales[[#This Row],[Rating]]&gt;=5,"Good",Sales[[#This Row],[Rating]]&lt;5,"Average")</f>
        <v>Super</v>
      </c>
      <c r="M178">
        <f t="shared" si="6"/>
        <v>3</v>
      </c>
      <c r="N178" t="str">
        <f t="shared" si="8"/>
        <v>Mar</v>
      </c>
      <c r="O178">
        <f t="shared" si="7"/>
        <v>2019</v>
      </c>
    </row>
    <row r="179" spans="1:15" x14ac:dyDescent="0.3">
      <c r="A179" t="s">
        <v>16</v>
      </c>
      <c r="B179" t="s">
        <v>17</v>
      </c>
      <c r="C179" t="s">
        <v>18</v>
      </c>
      <c r="D179" t="s">
        <v>14</v>
      </c>
      <c r="E179" t="s">
        <v>25</v>
      </c>
      <c r="F179">
        <v>22.51</v>
      </c>
      <c r="G179">
        <v>7</v>
      </c>
      <c r="H179">
        <v>7.8784999999999998</v>
      </c>
      <c r="I179">
        <v>165.4485</v>
      </c>
      <c r="J179" s="3">
        <v>43509</v>
      </c>
      <c r="K179">
        <v>4.8</v>
      </c>
      <c r="L179" t="str" cm="1">
        <f t="array" ref="L179">_xlfn.IFS(Sales[[#This Row],[Rating]]&gt;8,"Super",Sales[[#This Row],[Rating]]&gt;=5,"Good",Sales[[#This Row],[Rating]]&lt;5,"Average")</f>
        <v>Average</v>
      </c>
      <c r="M179">
        <f t="shared" si="6"/>
        <v>2</v>
      </c>
      <c r="N179" t="str">
        <f t="shared" si="8"/>
        <v>Mar</v>
      </c>
      <c r="O179">
        <f t="shared" si="7"/>
        <v>2019</v>
      </c>
    </row>
    <row r="180" spans="1:15" x14ac:dyDescent="0.3">
      <c r="A180" t="s">
        <v>11</v>
      </c>
      <c r="B180" t="s">
        <v>12</v>
      </c>
      <c r="C180" t="s">
        <v>18</v>
      </c>
      <c r="D180" t="s">
        <v>26</v>
      </c>
      <c r="E180" t="s">
        <v>24</v>
      </c>
      <c r="F180">
        <v>73.88</v>
      </c>
      <c r="G180">
        <v>6</v>
      </c>
      <c r="H180">
        <v>22.164000000000001</v>
      </c>
      <c r="I180">
        <v>465.44400000000002</v>
      </c>
      <c r="J180" s="3">
        <v>43547</v>
      </c>
      <c r="K180">
        <v>4.4000000000000004</v>
      </c>
      <c r="L180" t="str" cm="1">
        <f t="array" ref="L180">_xlfn.IFS(Sales[[#This Row],[Rating]]&gt;8,"Super",Sales[[#This Row],[Rating]]&gt;=5,"Good",Sales[[#This Row],[Rating]]&lt;5,"Average")</f>
        <v>Average</v>
      </c>
      <c r="M180">
        <f t="shared" si="6"/>
        <v>3</v>
      </c>
      <c r="N180" t="str">
        <f t="shared" si="8"/>
        <v>Feb</v>
      </c>
      <c r="O180">
        <f t="shared" si="7"/>
        <v>2019</v>
      </c>
    </row>
    <row r="181" spans="1:15" x14ac:dyDescent="0.3">
      <c r="A181" t="s">
        <v>16</v>
      </c>
      <c r="B181" t="s">
        <v>17</v>
      </c>
      <c r="C181" t="s">
        <v>13</v>
      </c>
      <c r="D181" t="s">
        <v>26</v>
      </c>
      <c r="E181" t="s">
        <v>15</v>
      </c>
      <c r="F181">
        <v>86.8</v>
      </c>
      <c r="G181">
        <v>3</v>
      </c>
      <c r="H181">
        <v>13.02</v>
      </c>
      <c r="I181">
        <v>273.42</v>
      </c>
      <c r="J181" s="3">
        <v>43493</v>
      </c>
      <c r="K181">
        <v>9.9</v>
      </c>
      <c r="L181" t="str" cm="1">
        <f t="array" ref="L181">_xlfn.IFS(Sales[[#This Row],[Rating]]&gt;8,"Super",Sales[[#This Row],[Rating]]&gt;=5,"Good",Sales[[#This Row],[Rating]]&lt;5,"Average")</f>
        <v>Super</v>
      </c>
      <c r="M181">
        <f t="shared" si="6"/>
        <v>1</v>
      </c>
      <c r="N181" t="str">
        <f t="shared" si="8"/>
        <v>Mar</v>
      </c>
      <c r="O181">
        <f t="shared" si="7"/>
        <v>2019</v>
      </c>
    </row>
    <row r="182" spans="1:15" x14ac:dyDescent="0.3">
      <c r="A182" t="s">
        <v>16</v>
      </c>
      <c r="B182" t="s">
        <v>17</v>
      </c>
      <c r="C182" t="s">
        <v>18</v>
      </c>
      <c r="D182" t="s">
        <v>26</v>
      </c>
      <c r="E182" t="s">
        <v>25</v>
      </c>
      <c r="F182">
        <v>64.260000000000005</v>
      </c>
      <c r="G182">
        <v>7</v>
      </c>
      <c r="H182">
        <v>22.491</v>
      </c>
      <c r="I182">
        <v>472.31099999999998</v>
      </c>
      <c r="J182" s="3">
        <v>43505</v>
      </c>
      <c r="K182">
        <v>5.7</v>
      </c>
      <c r="L182" t="str" cm="1">
        <f t="array" ref="L182">_xlfn.IFS(Sales[[#This Row],[Rating]]&gt;8,"Super",Sales[[#This Row],[Rating]]&gt;=5,"Good",Sales[[#This Row],[Rating]]&lt;5,"Average")</f>
        <v>Good</v>
      </c>
      <c r="M182">
        <f t="shared" si="6"/>
        <v>2</v>
      </c>
      <c r="N182" t="str">
        <f t="shared" si="8"/>
        <v>Jan</v>
      </c>
      <c r="O182">
        <f t="shared" si="7"/>
        <v>2019</v>
      </c>
    </row>
    <row r="183" spans="1:15" x14ac:dyDescent="0.3">
      <c r="A183" t="s">
        <v>16</v>
      </c>
      <c r="B183" t="s">
        <v>17</v>
      </c>
      <c r="C183" t="s">
        <v>13</v>
      </c>
      <c r="D183" t="s">
        <v>26</v>
      </c>
      <c r="E183" t="s">
        <v>24</v>
      </c>
      <c r="F183">
        <v>38.47</v>
      </c>
      <c r="G183">
        <v>8</v>
      </c>
      <c r="H183">
        <v>15.388</v>
      </c>
      <c r="I183">
        <v>323.14800000000002</v>
      </c>
      <c r="J183" s="3">
        <v>43488</v>
      </c>
      <c r="K183">
        <v>7.7</v>
      </c>
      <c r="L183" t="str" cm="1">
        <f t="array" ref="L183">_xlfn.IFS(Sales[[#This Row],[Rating]]&gt;8,"Super",Sales[[#This Row],[Rating]]&gt;=5,"Good",Sales[[#This Row],[Rating]]&lt;5,"Average")</f>
        <v>Good</v>
      </c>
      <c r="M183">
        <f t="shared" si="6"/>
        <v>1</v>
      </c>
      <c r="N183" t="str">
        <f t="shared" si="8"/>
        <v>Feb</v>
      </c>
      <c r="O183">
        <f t="shared" si="7"/>
        <v>2019</v>
      </c>
    </row>
    <row r="184" spans="1:15" x14ac:dyDescent="0.3">
      <c r="A184" t="s">
        <v>11</v>
      </c>
      <c r="B184" t="s">
        <v>12</v>
      </c>
      <c r="C184" t="s">
        <v>13</v>
      </c>
      <c r="D184" t="s">
        <v>26</v>
      </c>
      <c r="E184" t="s">
        <v>21</v>
      </c>
      <c r="F184">
        <v>15.5</v>
      </c>
      <c r="G184">
        <v>10</v>
      </c>
      <c r="H184">
        <v>7.75</v>
      </c>
      <c r="I184">
        <v>162.75</v>
      </c>
      <c r="J184" s="3">
        <v>43547</v>
      </c>
      <c r="K184">
        <v>8</v>
      </c>
      <c r="L184" t="str" cm="1">
        <f t="array" ref="L184">_xlfn.IFS(Sales[[#This Row],[Rating]]&gt;8,"Super",Sales[[#This Row],[Rating]]&gt;=5,"Good",Sales[[#This Row],[Rating]]&lt;5,"Average")</f>
        <v>Good</v>
      </c>
      <c r="M184">
        <f t="shared" si="6"/>
        <v>3</v>
      </c>
      <c r="N184" t="str">
        <f t="shared" si="8"/>
        <v>Jan</v>
      </c>
      <c r="O184">
        <f t="shared" si="7"/>
        <v>2019</v>
      </c>
    </row>
    <row r="185" spans="1:15" x14ac:dyDescent="0.3">
      <c r="A185" t="s">
        <v>16</v>
      </c>
      <c r="B185" t="s">
        <v>17</v>
      </c>
      <c r="C185" t="s">
        <v>18</v>
      </c>
      <c r="D185" t="s">
        <v>26</v>
      </c>
      <c r="E185" t="s">
        <v>15</v>
      </c>
      <c r="F185">
        <v>34.31</v>
      </c>
      <c r="G185">
        <v>8</v>
      </c>
      <c r="H185">
        <v>13.724</v>
      </c>
      <c r="I185">
        <v>288.20400000000001</v>
      </c>
      <c r="J185" s="3">
        <v>43490</v>
      </c>
      <c r="K185">
        <v>5.7</v>
      </c>
      <c r="L185" t="str" cm="1">
        <f t="array" ref="L185">_xlfn.IFS(Sales[[#This Row],[Rating]]&gt;8,"Super",Sales[[#This Row],[Rating]]&gt;=5,"Good",Sales[[#This Row],[Rating]]&lt;5,"Average")</f>
        <v>Good</v>
      </c>
      <c r="M185">
        <f t="shared" si="6"/>
        <v>1</v>
      </c>
      <c r="N185" t="str">
        <f t="shared" si="8"/>
        <v>Mar</v>
      </c>
      <c r="O185">
        <f t="shared" si="7"/>
        <v>2019</v>
      </c>
    </row>
    <row r="186" spans="1:15" x14ac:dyDescent="0.3">
      <c r="A186" t="s">
        <v>11</v>
      </c>
      <c r="B186" t="s">
        <v>12</v>
      </c>
      <c r="C186" t="s">
        <v>18</v>
      </c>
      <c r="D186" t="s">
        <v>14</v>
      </c>
      <c r="E186" t="s">
        <v>21</v>
      </c>
      <c r="F186">
        <v>12.34</v>
      </c>
      <c r="G186">
        <v>7</v>
      </c>
      <c r="H186">
        <v>4.319</v>
      </c>
      <c r="I186">
        <v>90.698999999999998</v>
      </c>
      <c r="J186" s="3">
        <v>43528</v>
      </c>
      <c r="K186">
        <v>6.7</v>
      </c>
      <c r="L186" t="str" cm="1">
        <f t="array" ref="L186">_xlfn.IFS(Sales[[#This Row],[Rating]]&gt;8,"Super",Sales[[#This Row],[Rating]]&gt;=5,"Good",Sales[[#This Row],[Rating]]&lt;5,"Average")</f>
        <v>Good</v>
      </c>
      <c r="M186">
        <f t="shared" si="6"/>
        <v>3</v>
      </c>
      <c r="N186" t="str">
        <f t="shared" si="8"/>
        <v>Jan</v>
      </c>
      <c r="O186">
        <f t="shared" si="7"/>
        <v>2019</v>
      </c>
    </row>
    <row r="187" spans="1:15" x14ac:dyDescent="0.3">
      <c r="A187" t="s">
        <v>22</v>
      </c>
      <c r="B187" t="s">
        <v>23</v>
      </c>
      <c r="C187" t="s">
        <v>13</v>
      </c>
      <c r="D187" t="s">
        <v>26</v>
      </c>
      <c r="E187" t="s">
        <v>24</v>
      </c>
      <c r="F187">
        <v>18.079999999999998</v>
      </c>
      <c r="G187">
        <v>3</v>
      </c>
      <c r="H187">
        <v>2.7120000000000002</v>
      </c>
      <c r="I187">
        <v>56.951999999999998</v>
      </c>
      <c r="J187" s="3">
        <v>43529</v>
      </c>
      <c r="K187">
        <v>8</v>
      </c>
      <c r="L187" t="str" cm="1">
        <f t="array" ref="L187">_xlfn.IFS(Sales[[#This Row],[Rating]]&gt;8,"Super",Sales[[#This Row],[Rating]]&gt;=5,"Good",Sales[[#This Row],[Rating]]&lt;5,"Average")</f>
        <v>Good</v>
      </c>
      <c r="M187">
        <f t="shared" si="6"/>
        <v>3</v>
      </c>
      <c r="N187" t="str">
        <f t="shared" si="8"/>
        <v>Mar</v>
      </c>
      <c r="O187">
        <f t="shared" si="7"/>
        <v>2019</v>
      </c>
    </row>
    <row r="188" spans="1:15" x14ac:dyDescent="0.3">
      <c r="A188" t="s">
        <v>22</v>
      </c>
      <c r="B188" t="s">
        <v>23</v>
      </c>
      <c r="C188" t="s">
        <v>13</v>
      </c>
      <c r="D188" t="s">
        <v>14</v>
      </c>
      <c r="E188" t="s">
        <v>20</v>
      </c>
      <c r="F188">
        <v>94.49</v>
      </c>
      <c r="G188">
        <v>8</v>
      </c>
      <c r="H188">
        <v>37.795999999999999</v>
      </c>
      <c r="I188">
        <v>793.71600000000001</v>
      </c>
      <c r="J188" s="3">
        <v>43527</v>
      </c>
      <c r="K188">
        <v>7.5</v>
      </c>
      <c r="L188" t="str" cm="1">
        <f t="array" ref="L188">_xlfn.IFS(Sales[[#This Row],[Rating]]&gt;8,"Super",Sales[[#This Row],[Rating]]&gt;=5,"Good",Sales[[#This Row],[Rating]]&lt;5,"Average")</f>
        <v>Good</v>
      </c>
      <c r="M188">
        <f t="shared" si="6"/>
        <v>3</v>
      </c>
      <c r="N188" t="str">
        <f t="shared" si="8"/>
        <v>Mar</v>
      </c>
      <c r="O188">
        <f t="shared" si="7"/>
        <v>2019</v>
      </c>
    </row>
    <row r="189" spans="1:15" x14ac:dyDescent="0.3">
      <c r="A189" t="s">
        <v>22</v>
      </c>
      <c r="B189" t="s">
        <v>23</v>
      </c>
      <c r="C189" t="s">
        <v>13</v>
      </c>
      <c r="D189" t="s">
        <v>26</v>
      </c>
      <c r="E189" t="s">
        <v>20</v>
      </c>
      <c r="F189">
        <v>46.47</v>
      </c>
      <c r="G189">
        <v>4</v>
      </c>
      <c r="H189">
        <v>9.2940000000000005</v>
      </c>
      <c r="I189">
        <v>195.17400000000001</v>
      </c>
      <c r="J189" s="3">
        <v>43504</v>
      </c>
      <c r="K189">
        <v>7</v>
      </c>
      <c r="L189" t="str" cm="1">
        <f t="array" ref="L189">_xlfn.IFS(Sales[[#This Row],[Rating]]&gt;8,"Super",Sales[[#This Row],[Rating]]&gt;=5,"Good",Sales[[#This Row],[Rating]]&lt;5,"Average")</f>
        <v>Good</v>
      </c>
      <c r="M189">
        <f t="shared" si="6"/>
        <v>2</v>
      </c>
      <c r="N189" t="str">
        <f t="shared" si="8"/>
        <v>Mar</v>
      </c>
      <c r="O189">
        <f t="shared" si="7"/>
        <v>2019</v>
      </c>
    </row>
    <row r="190" spans="1:15" x14ac:dyDescent="0.3">
      <c r="A190" t="s">
        <v>11</v>
      </c>
      <c r="B190" t="s">
        <v>12</v>
      </c>
      <c r="C190" t="s">
        <v>18</v>
      </c>
      <c r="D190" t="s">
        <v>26</v>
      </c>
      <c r="E190" t="s">
        <v>20</v>
      </c>
      <c r="F190">
        <v>74.069999999999993</v>
      </c>
      <c r="G190">
        <v>1</v>
      </c>
      <c r="H190">
        <v>3.7035</v>
      </c>
      <c r="I190">
        <v>77.773499999999999</v>
      </c>
      <c r="J190" s="3">
        <v>43506</v>
      </c>
      <c r="K190">
        <v>9.9</v>
      </c>
      <c r="L190" t="str" cm="1">
        <f t="array" ref="L190">_xlfn.IFS(Sales[[#This Row],[Rating]]&gt;8,"Super",Sales[[#This Row],[Rating]]&gt;=5,"Good",Sales[[#This Row],[Rating]]&lt;5,"Average")</f>
        <v>Super</v>
      </c>
      <c r="M190">
        <f t="shared" si="6"/>
        <v>2</v>
      </c>
      <c r="N190" t="str">
        <f t="shared" si="8"/>
        <v>Feb</v>
      </c>
      <c r="O190">
        <f t="shared" si="7"/>
        <v>2019</v>
      </c>
    </row>
    <row r="191" spans="1:15" x14ac:dyDescent="0.3">
      <c r="A191" t="s">
        <v>16</v>
      </c>
      <c r="B191" t="s">
        <v>17</v>
      </c>
      <c r="C191" t="s">
        <v>18</v>
      </c>
      <c r="D191" t="s">
        <v>14</v>
      </c>
      <c r="E191" t="s">
        <v>20</v>
      </c>
      <c r="F191">
        <v>69.81</v>
      </c>
      <c r="G191">
        <v>4</v>
      </c>
      <c r="H191">
        <v>13.962</v>
      </c>
      <c r="I191">
        <v>293.202</v>
      </c>
      <c r="J191" s="3">
        <v>43493</v>
      </c>
      <c r="K191">
        <v>5.9</v>
      </c>
      <c r="L191" t="str" cm="1">
        <f t="array" ref="L191">_xlfn.IFS(Sales[[#This Row],[Rating]]&gt;8,"Super",Sales[[#This Row],[Rating]]&gt;=5,"Good",Sales[[#This Row],[Rating]]&lt;5,"Average")</f>
        <v>Good</v>
      </c>
      <c r="M191">
        <f t="shared" si="6"/>
        <v>1</v>
      </c>
      <c r="N191" t="str">
        <f t="shared" si="8"/>
        <v>Feb</v>
      </c>
      <c r="O191">
        <f t="shared" si="7"/>
        <v>2019</v>
      </c>
    </row>
    <row r="192" spans="1:15" x14ac:dyDescent="0.3">
      <c r="A192" t="s">
        <v>22</v>
      </c>
      <c r="B192" t="s">
        <v>23</v>
      </c>
      <c r="C192" t="s">
        <v>18</v>
      </c>
      <c r="D192" t="s">
        <v>14</v>
      </c>
      <c r="E192" t="s">
        <v>20</v>
      </c>
      <c r="F192">
        <v>77.040000000000006</v>
      </c>
      <c r="G192">
        <v>3</v>
      </c>
      <c r="H192">
        <v>11.555999999999999</v>
      </c>
      <c r="I192">
        <v>242.67599999999999</v>
      </c>
      <c r="J192" s="3">
        <v>43507</v>
      </c>
      <c r="K192">
        <v>7.2</v>
      </c>
      <c r="L192" t="str" cm="1">
        <f t="array" ref="L192">_xlfn.IFS(Sales[[#This Row],[Rating]]&gt;8,"Super",Sales[[#This Row],[Rating]]&gt;=5,"Good",Sales[[#This Row],[Rating]]&lt;5,"Average")</f>
        <v>Good</v>
      </c>
      <c r="M192">
        <f t="shared" si="6"/>
        <v>2</v>
      </c>
      <c r="N192" t="str">
        <f t="shared" si="8"/>
        <v>Jan</v>
      </c>
      <c r="O192">
        <f t="shared" si="7"/>
        <v>2019</v>
      </c>
    </row>
    <row r="193" spans="1:15" x14ac:dyDescent="0.3">
      <c r="A193" t="s">
        <v>22</v>
      </c>
      <c r="B193" t="s">
        <v>23</v>
      </c>
      <c r="C193" t="s">
        <v>18</v>
      </c>
      <c r="D193" t="s">
        <v>14</v>
      </c>
      <c r="E193" t="s">
        <v>25</v>
      </c>
      <c r="F193">
        <v>73.52</v>
      </c>
      <c r="G193">
        <v>2</v>
      </c>
      <c r="H193">
        <v>7.3520000000000003</v>
      </c>
      <c r="I193">
        <v>154.392</v>
      </c>
      <c r="J193" s="3">
        <v>43480</v>
      </c>
      <c r="K193">
        <v>4.5999999999999996</v>
      </c>
      <c r="L193" t="str" cm="1">
        <f t="array" ref="L193">_xlfn.IFS(Sales[[#This Row],[Rating]]&gt;8,"Super",Sales[[#This Row],[Rating]]&gt;=5,"Good",Sales[[#This Row],[Rating]]&lt;5,"Average")</f>
        <v>Average</v>
      </c>
      <c r="M193">
        <f t="shared" si="6"/>
        <v>1</v>
      </c>
      <c r="N193" t="str">
        <f t="shared" si="8"/>
        <v>Feb</v>
      </c>
      <c r="O193">
        <f t="shared" si="7"/>
        <v>2019</v>
      </c>
    </row>
    <row r="194" spans="1:15" x14ac:dyDescent="0.3">
      <c r="A194" t="s">
        <v>16</v>
      </c>
      <c r="B194" t="s">
        <v>17</v>
      </c>
      <c r="C194" t="s">
        <v>18</v>
      </c>
      <c r="D194" t="s">
        <v>14</v>
      </c>
      <c r="E194" t="s">
        <v>24</v>
      </c>
      <c r="F194">
        <v>87.8</v>
      </c>
      <c r="G194">
        <v>9</v>
      </c>
      <c r="H194">
        <v>39.51</v>
      </c>
      <c r="I194">
        <v>829.71</v>
      </c>
      <c r="J194" s="3">
        <v>43540</v>
      </c>
      <c r="K194">
        <v>9.1999999999999993</v>
      </c>
      <c r="L194" t="str" cm="1">
        <f t="array" ref="L194">_xlfn.IFS(Sales[[#This Row],[Rating]]&gt;8,"Super",Sales[[#This Row],[Rating]]&gt;=5,"Good",Sales[[#This Row],[Rating]]&lt;5,"Average")</f>
        <v>Super</v>
      </c>
      <c r="M194">
        <f t="shared" si="6"/>
        <v>3</v>
      </c>
      <c r="N194" t="str">
        <f t="shared" si="8"/>
        <v>Jan</v>
      </c>
      <c r="O194">
        <f t="shared" si="7"/>
        <v>2019</v>
      </c>
    </row>
    <row r="195" spans="1:15" x14ac:dyDescent="0.3">
      <c r="A195" t="s">
        <v>22</v>
      </c>
      <c r="B195" t="s">
        <v>23</v>
      </c>
      <c r="C195" t="s">
        <v>18</v>
      </c>
      <c r="D195" t="s">
        <v>26</v>
      </c>
      <c r="E195" t="s">
        <v>20</v>
      </c>
      <c r="F195">
        <v>25.55</v>
      </c>
      <c r="G195">
        <v>4</v>
      </c>
      <c r="H195">
        <v>5.1100000000000003</v>
      </c>
      <c r="I195">
        <v>107.31</v>
      </c>
      <c r="J195" s="3">
        <v>43491</v>
      </c>
      <c r="K195">
        <v>5.7</v>
      </c>
      <c r="L195" t="str" cm="1">
        <f t="array" ref="L195">_xlfn.IFS(Sales[[#This Row],[Rating]]&gt;8,"Super",Sales[[#This Row],[Rating]]&gt;=5,"Good",Sales[[#This Row],[Rating]]&lt;5,"Average")</f>
        <v>Good</v>
      </c>
      <c r="M195">
        <f t="shared" ref="M195:M258" si="9">MONTH(J195)</f>
        <v>1</v>
      </c>
      <c r="N195" t="str">
        <f t="shared" si="8"/>
        <v>Mar</v>
      </c>
      <c r="O195">
        <f t="shared" ref="O195:O258" si="10">YEAR(J195)</f>
        <v>2019</v>
      </c>
    </row>
    <row r="196" spans="1:15" x14ac:dyDescent="0.3">
      <c r="A196" t="s">
        <v>11</v>
      </c>
      <c r="B196" t="s">
        <v>12</v>
      </c>
      <c r="C196" t="s">
        <v>18</v>
      </c>
      <c r="D196" t="s">
        <v>26</v>
      </c>
      <c r="E196" t="s">
        <v>19</v>
      </c>
      <c r="F196">
        <v>32.71</v>
      </c>
      <c r="G196">
        <v>5</v>
      </c>
      <c r="H196">
        <v>8.1775000000000002</v>
      </c>
      <c r="I196">
        <v>171.72749999999999</v>
      </c>
      <c r="J196" s="3">
        <v>43543</v>
      </c>
      <c r="K196">
        <v>9.9</v>
      </c>
      <c r="L196" t="str" cm="1">
        <f t="array" ref="L196">_xlfn.IFS(Sales[[#This Row],[Rating]]&gt;8,"Super",Sales[[#This Row],[Rating]]&gt;=5,"Good",Sales[[#This Row],[Rating]]&lt;5,"Average")</f>
        <v>Super</v>
      </c>
      <c r="M196">
        <f t="shared" si="9"/>
        <v>3</v>
      </c>
      <c r="N196" t="str">
        <f t="shared" ref="N196:N259" si="11">TEXT(J195,"MMM")</f>
        <v>Jan</v>
      </c>
      <c r="O196">
        <f t="shared" si="10"/>
        <v>2019</v>
      </c>
    </row>
    <row r="197" spans="1:15" x14ac:dyDescent="0.3">
      <c r="A197" t="s">
        <v>16</v>
      </c>
      <c r="B197" t="s">
        <v>17</v>
      </c>
      <c r="C197" t="s">
        <v>13</v>
      </c>
      <c r="D197" t="s">
        <v>14</v>
      </c>
      <c r="E197" t="s">
        <v>25</v>
      </c>
      <c r="F197">
        <v>74.290000000000006</v>
      </c>
      <c r="G197">
        <v>1</v>
      </c>
      <c r="H197">
        <v>3.7145000000000001</v>
      </c>
      <c r="I197">
        <v>78.004499999999993</v>
      </c>
      <c r="J197" s="3">
        <v>43478</v>
      </c>
      <c r="K197">
        <v>5</v>
      </c>
      <c r="L197" t="str" cm="1">
        <f t="array" ref="L197">_xlfn.IFS(Sales[[#This Row],[Rating]]&gt;8,"Super",Sales[[#This Row],[Rating]]&gt;=5,"Good",Sales[[#This Row],[Rating]]&lt;5,"Average")</f>
        <v>Good</v>
      </c>
      <c r="M197">
        <f t="shared" si="9"/>
        <v>1</v>
      </c>
      <c r="N197" t="str">
        <f t="shared" si="11"/>
        <v>Mar</v>
      </c>
      <c r="O197">
        <f t="shared" si="10"/>
        <v>2019</v>
      </c>
    </row>
    <row r="198" spans="1:15" x14ac:dyDescent="0.3">
      <c r="A198" t="s">
        <v>16</v>
      </c>
      <c r="B198" t="s">
        <v>17</v>
      </c>
      <c r="C198" t="s">
        <v>13</v>
      </c>
      <c r="D198" t="s">
        <v>26</v>
      </c>
      <c r="E198" t="s">
        <v>15</v>
      </c>
      <c r="F198">
        <v>43.7</v>
      </c>
      <c r="G198">
        <v>2</v>
      </c>
      <c r="H198">
        <v>4.37</v>
      </c>
      <c r="I198">
        <v>91.77</v>
      </c>
      <c r="J198" s="3">
        <v>43550</v>
      </c>
      <c r="K198">
        <v>4.9000000000000004</v>
      </c>
      <c r="L198" t="str" cm="1">
        <f t="array" ref="L198">_xlfn.IFS(Sales[[#This Row],[Rating]]&gt;8,"Super",Sales[[#This Row],[Rating]]&gt;=5,"Good",Sales[[#This Row],[Rating]]&lt;5,"Average")</f>
        <v>Average</v>
      </c>
      <c r="M198">
        <f t="shared" si="9"/>
        <v>3</v>
      </c>
      <c r="N198" t="str">
        <f t="shared" si="11"/>
        <v>Jan</v>
      </c>
      <c r="O198">
        <f t="shared" si="10"/>
        <v>2019</v>
      </c>
    </row>
    <row r="199" spans="1:15" x14ac:dyDescent="0.3">
      <c r="A199" t="s">
        <v>11</v>
      </c>
      <c r="B199" t="s">
        <v>12</v>
      </c>
      <c r="C199" t="s">
        <v>18</v>
      </c>
      <c r="D199" t="s">
        <v>14</v>
      </c>
      <c r="E199" t="s">
        <v>20</v>
      </c>
      <c r="F199">
        <v>25.29</v>
      </c>
      <c r="G199">
        <v>1</v>
      </c>
      <c r="H199">
        <v>1.2645</v>
      </c>
      <c r="I199">
        <v>26.554500000000001</v>
      </c>
      <c r="J199" s="3">
        <v>43547</v>
      </c>
      <c r="K199">
        <v>6.1</v>
      </c>
      <c r="L199" t="str" cm="1">
        <f t="array" ref="L199">_xlfn.IFS(Sales[[#This Row],[Rating]]&gt;8,"Super",Sales[[#This Row],[Rating]]&gt;=5,"Good",Sales[[#This Row],[Rating]]&lt;5,"Average")</f>
        <v>Good</v>
      </c>
      <c r="M199">
        <f t="shared" si="9"/>
        <v>3</v>
      </c>
      <c r="N199" t="str">
        <f t="shared" si="11"/>
        <v>Mar</v>
      </c>
      <c r="O199">
        <f t="shared" si="10"/>
        <v>2019</v>
      </c>
    </row>
    <row r="200" spans="1:15" x14ac:dyDescent="0.3">
      <c r="A200" t="s">
        <v>16</v>
      </c>
      <c r="B200" t="s">
        <v>17</v>
      </c>
      <c r="C200" t="s">
        <v>18</v>
      </c>
      <c r="D200" t="s">
        <v>26</v>
      </c>
      <c r="E200" t="s">
        <v>15</v>
      </c>
      <c r="F200">
        <v>41.5</v>
      </c>
      <c r="G200">
        <v>4</v>
      </c>
      <c r="H200">
        <v>8.3000000000000007</v>
      </c>
      <c r="I200">
        <v>174.3</v>
      </c>
      <c r="J200" s="3">
        <v>43536</v>
      </c>
      <c r="K200">
        <v>8.1999999999999993</v>
      </c>
      <c r="L200" t="str" cm="1">
        <f t="array" ref="L200">_xlfn.IFS(Sales[[#This Row],[Rating]]&gt;8,"Super",Sales[[#This Row],[Rating]]&gt;=5,"Good",Sales[[#This Row],[Rating]]&lt;5,"Average")</f>
        <v>Super</v>
      </c>
      <c r="M200">
        <f t="shared" si="9"/>
        <v>3</v>
      </c>
      <c r="N200" t="str">
        <f t="shared" si="11"/>
        <v>Mar</v>
      </c>
      <c r="O200">
        <f t="shared" si="10"/>
        <v>2019</v>
      </c>
    </row>
    <row r="201" spans="1:15" x14ac:dyDescent="0.3">
      <c r="A201" t="s">
        <v>16</v>
      </c>
      <c r="B201" t="s">
        <v>17</v>
      </c>
      <c r="C201" t="s">
        <v>13</v>
      </c>
      <c r="D201" t="s">
        <v>14</v>
      </c>
      <c r="E201" t="s">
        <v>24</v>
      </c>
      <c r="F201">
        <v>71.39</v>
      </c>
      <c r="G201">
        <v>5</v>
      </c>
      <c r="H201">
        <v>17.8475</v>
      </c>
      <c r="I201">
        <v>374.79750000000001</v>
      </c>
      <c r="J201" s="3">
        <v>43513</v>
      </c>
      <c r="K201">
        <v>5.5</v>
      </c>
      <c r="L201" t="str" cm="1">
        <f t="array" ref="L201">_xlfn.IFS(Sales[[#This Row],[Rating]]&gt;8,"Super",Sales[[#This Row],[Rating]]&gt;=5,"Good",Sales[[#This Row],[Rating]]&lt;5,"Average")</f>
        <v>Good</v>
      </c>
      <c r="M201">
        <f t="shared" si="9"/>
        <v>2</v>
      </c>
      <c r="N201" t="str">
        <f t="shared" si="11"/>
        <v>Mar</v>
      </c>
      <c r="O201">
        <f t="shared" si="10"/>
        <v>2019</v>
      </c>
    </row>
    <row r="202" spans="1:15" x14ac:dyDescent="0.3">
      <c r="A202" t="s">
        <v>16</v>
      </c>
      <c r="B202" t="s">
        <v>17</v>
      </c>
      <c r="C202" t="s">
        <v>13</v>
      </c>
      <c r="D202" t="s">
        <v>14</v>
      </c>
      <c r="E202" t="s">
        <v>21</v>
      </c>
      <c r="F202">
        <v>19.149999999999999</v>
      </c>
      <c r="G202">
        <v>6</v>
      </c>
      <c r="H202">
        <v>5.7450000000000001</v>
      </c>
      <c r="I202">
        <v>120.645</v>
      </c>
      <c r="J202" s="3">
        <v>43494</v>
      </c>
      <c r="K202">
        <v>6.8</v>
      </c>
      <c r="L202" t="str" cm="1">
        <f t="array" ref="L202">_xlfn.IFS(Sales[[#This Row],[Rating]]&gt;8,"Super",Sales[[#This Row],[Rating]]&gt;=5,"Good",Sales[[#This Row],[Rating]]&lt;5,"Average")</f>
        <v>Good</v>
      </c>
      <c r="M202">
        <f t="shared" si="9"/>
        <v>1</v>
      </c>
      <c r="N202" t="str">
        <f t="shared" si="11"/>
        <v>Feb</v>
      </c>
      <c r="O202">
        <f t="shared" si="10"/>
        <v>2019</v>
      </c>
    </row>
    <row r="203" spans="1:15" x14ac:dyDescent="0.3">
      <c r="A203" t="s">
        <v>22</v>
      </c>
      <c r="B203" t="s">
        <v>23</v>
      </c>
      <c r="C203" t="s">
        <v>13</v>
      </c>
      <c r="D203" t="s">
        <v>14</v>
      </c>
      <c r="E203" t="s">
        <v>19</v>
      </c>
      <c r="F203">
        <v>57.49</v>
      </c>
      <c r="G203">
        <v>4</v>
      </c>
      <c r="H203">
        <v>11.497999999999999</v>
      </c>
      <c r="I203">
        <v>241.458</v>
      </c>
      <c r="J203" s="3">
        <v>43539</v>
      </c>
      <c r="K203">
        <v>6.6</v>
      </c>
      <c r="L203" t="str" cm="1">
        <f t="array" ref="L203">_xlfn.IFS(Sales[[#This Row],[Rating]]&gt;8,"Super",Sales[[#This Row],[Rating]]&gt;=5,"Good",Sales[[#This Row],[Rating]]&lt;5,"Average")</f>
        <v>Good</v>
      </c>
      <c r="M203">
        <f t="shared" si="9"/>
        <v>3</v>
      </c>
      <c r="N203" t="str">
        <f t="shared" si="11"/>
        <v>Jan</v>
      </c>
      <c r="O203">
        <f t="shared" si="10"/>
        <v>2019</v>
      </c>
    </row>
    <row r="204" spans="1:15" x14ac:dyDescent="0.3">
      <c r="A204" t="s">
        <v>16</v>
      </c>
      <c r="B204" t="s">
        <v>17</v>
      </c>
      <c r="C204" t="s">
        <v>18</v>
      </c>
      <c r="D204" t="s">
        <v>26</v>
      </c>
      <c r="E204" t="s">
        <v>19</v>
      </c>
      <c r="F204">
        <v>61.41</v>
      </c>
      <c r="G204">
        <v>7</v>
      </c>
      <c r="H204">
        <v>21.493500000000001</v>
      </c>
      <c r="I204">
        <v>451.36349999999999</v>
      </c>
      <c r="J204" s="3">
        <v>43479</v>
      </c>
      <c r="K204">
        <v>9.8000000000000007</v>
      </c>
      <c r="L204" t="str" cm="1">
        <f t="array" ref="L204">_xlfn.IFS(Sales[[#This Row],[Rating]]&gt;8,"Super",Sales[[#This Row],[Rating]]&gt;=5,"Good",Sales[[#This Row],[Rating]]&lt;5,"Average")</f>
        <v>Super</v>
      </c>
      <c r="M204">
        <f t="shared" si="9"/>
        <v>1</v>
      </c>
      <c r="N204" t="str">
        <f t="shared" si="11"/>
        <v>Mar</v>
      </c>
      <c r="O204">
        <f t="shared" si="10"/>
        <v>2019</v>
      </c>
    </row>
    <row r="205" spans="1:15" x14ac:dyDescent="0.3">
      <c r="A205" t="s">
        <v>22</v>
      </c>
      <c r="B205" t="s">
        <v>23</v>
      </c>
      <c r="C205" t="s">
        <v>13</v>
      </c>
      <c r="D205" t="s">
        <v>26</v>
      </c>
      <c r="E205" t="s">
        <v>15</v>
      </c>
      <c r="F205">
        <v>25.9</v>
      </c>
      <c r="G205">
        <v>10</v>
      </c>
      <c r="H205">
        <v>12.95</v>
      </c>
      <c r="I205">
        <v>271.95</v>
      </c>
      <c r="J205" s="3">
        <v>43502</v>
      </c>
      <c r="K205">
        <v>8.6999999999999993</v>
      </c>
      <c r="L205" t="str" cm="1">
        <f t="array" ref="L205">_xlfn.IFS(Sales[[#This Row],[Rating]]&gt;8,"Super",Sales[[#This Row],[Rating]]&gt;=5,"Good",Sales[[#This Row],[Rating]]&lt;5,"Average")</f>
        <v>Super</v>
      </c>
      <c r="M205">
        <f t="shared" si="9"/>
        <v>2</v>
      </c>
      <c r="N205" t="str">
        <f t="shared" si="11"/>
        <v>Jan</v>
      </c>
      <c r="O205">
        <f t="shared" si="10"/>
        <v>2019</v>
      </c>
    </row>
    <row r="206" spans="1:15" x14ac:dyDescent="0.3">
      <c r="A206" t="s">
        <v>22</v>
      </c>
      <c r="B206" t="s">
        <v>23</v>
      </c>
      <c r="C206" t="s">
        <v>13</v>
      </c>
      <c r="D206" t="s">
        <v>26</v>
      </c>
      <c r="E206" t="s">
        <v>20</v>
      </c>
      <c r="F206">
        <v>17.77</v>
      </c>
      <c r="G206">
        <v>5</v>
      </c>
      <c r="H206">
        <v>4.4424999999999999</v>
      </c>
      <c r="I206">
        <v>93.292500000000004</v>
      </c>
      <c r="J206" s="3">
        <v>43511</v>
      </c>
      <c r="K206">
        <v>5.4</v>
      </c>
      <c r="L206" t="str" cm="1">
        <f t="array" ref="L206">_xlfn.IFS(Sales[[#This Row],[Rating]]&gt;8,"Super",Sales[[#This Row],[Rating]]&gt;=5,"Good",Sales[[#This Row],[Rating]]&lt;5,"Average")</f>
        <v>Good</v>
      </c>
      <c r="M206">
        <f t="shared" si="9"/>
        <v>2</v>
      </c>
      <c r="N206" t="str">
        <f t="shared" si="11"/>
        <v>Feb</v>
      </c>
      <c r="O206">
        <f t="shared" si="10"/>
        <v>2019</v>
      </c>
    </row>
    <row r="207" spans="1:15" x14ac:dyDescent="0.3">
      <c r="A207" t="s">
        <v>11</v>
      </c>
      <c r="B207" t="s">
        <v>12</v>
      </c>
      <c r="C207" t="s">
        <v>18</v>
      </c>
      <c r="D207" t="s">
        <v>14</v>
      </c>
      <c r="E207" t="s">
        <v>15</v>
      </c>
      <c r="F207">
        <v>23.03</v>
      </c>
      <c r="G207">
        <v>9</v>
      </c>
      <c r="H207">
        <v>10.3635</v>
      </c>
      <c r="I207">
        <v>217.6335</v>
      </c>
      <c r="J207" s="3">
        <v>43468</v>
      </c>
      <c r="K207">
        <v>7.9</v>
      </c>
      <c r="L207" t="str" cm="1">
        <f t="array" ref="L207">_xlfn.IFS(Sales[[#This Row],[Rating]]&gt;8,"Super",Sales[[#This Row],[Rating]]&gt;=5,"Good",Sales[[#This Row],[Rating]]&lt;5,"Average")</f>
        <v>Good</v>
      </c>
      <c r="M207">
        <f t="shared" si="9"/>
        <v>1</v>
      </c>
      <c r="N207" t="str">
        <f t="shared" si="11"/>
        <v>Feb</v>
      </c>
      <c r="O207">
        <f t="shared" si="10"/>
        <v>2019</v>
      </c>
    </row>
    <row r="208" spans="1:15" x14ac:dyDescent="0.3">
      <c r="A208" t="s">
        <v>16</v>
      </c>
      <c r="B208" t="s">
        <v>17</v>
      </c>
      <c r="C208" t="s">
        <v>13</v>
      </c>
      <c r="D208" t="s">
        <v>14</v>
      </c>
      <c r="E208" t="s">
        <v>19</v>
      </c>
      <c r="F208">
        <v>66.650000000000006</v>
      </c>
      <c r="G208">
        <v>9</v>
      </c>
      <c r="H208">
        <v>29.9925</v>
      </c>
      <c r="I208">
        <v>629.84249999999997</v>
      </c>
      <c r="J208" s="3">
        <v>43469</v>
      </c>
      <c r="K208">
        <v>9.6999999999999993</v>
      </c>
      <c r="L208" t="str" cm="1">
        <f t="array" ref="L208">_xlfn.IFS(Sales[[#This Row],[Rating]]&gt;8,"Super",Sales[[#This Row],[Rating]]&gt;=5,"Good",Sales[[#This Row],[Rating]]&lt;5,"Average")</f>
        <v>Super</v>
      </c>
      <c r="M208">
        <f t="shared" si="9"/>
        <v>1</v>
      </c>
      <c r="N208" t="str">
        <f t="shared" si="11"/>
        <v>Jan</v>
      </c>
      <c r="O208">
        <f t="shared" si="10"/>
        <v>2019</v>
      </c>
    </row>
    <row r="209" spans="1:15" x14ac:dyDescent="0.3">
      <c r="A209" t="s">
        <v>16</v>
      </c>
      <c r="B209" t="s">
        <v>17</v>
      </c>
      <c r="C209" t="s">
        <v>13</v>
      </c>
      <c r="D209" t="s">
        <v>14</v>
      </c>
      <c r="E209" t="s">
        <v>20</v>
      </c>
      <c r="F209">
        <v>28.53</v>
      </c>
      <c r="G209">
        <v>10</v>
      </c>
      <c r="H209">
        <v>14.265000000000001</v>
      </c>
      <c r="I209">
        <v>299.565</v>
      </c>
      <c r="J209" s="3">
        <v>43542</v>
      </c>
      <c r="K209">
        <v>7.8</v>
      </c>
      <c r="L209" t="str" cm="1">
        <f t="array" ref="L209">_xlfn.IFS(Sales[[#This Row],[Rating]]&gt;8,"Super",Sales[[#This Row],[Rating]]&gt;=5,"Good",Sales[[#This Row],[Rating]]&lt;5,"Average")</f>
        <v>Good</v>
      </c>
      <c r="M209">
        <f t="shared" si="9"/>
        <v>3</v>
      </c>
      <c r="N209" t="str">
        <f t="shared" si="11"/>
        <v>Jan</v>
      </c>
      <c r="O209">
        <f t="shared" si="10"/>
        <v>2019</v>
      </c>
    </row>
    <row r="210" spans="1:15" x14ac:dyDescent="0.3">
      <c r="A210" t="s">
        <v>22</v>
      </c>
      <c r="B210" t="s">
        <v>23</v>
      </c>
      <c r="C210" t="s">
        <v>18</v>
      </c>
      <c r="D210" t="s">
        <v>14</v>
      </c>
      <c r="E210" t="s">
        <v>25</v>
      </c>
      <c r="F210">
        <v>30.37</v>
      </c>
      <c r="G210">
        <v>3</v>
      </c>
      <c r="H210">
        <v>4.5555000000000003</v>
      </c>
      <c r="I210">
        <v>95.665499999999994</v>
      </c>
      <c r="J210" s="3">
        <v>43552</v>
      </c>
      <c r="K210">
        <v>5.0999999999999996</v>
      </c>
      <c r="L210" t="str" cm="1">
        <f t="array" ref="L210">_xlfn.IFS(Sales[[#This Row],[Rating]]&gt;8,"Super",Sales[[#This Row],[Rating]]&gt;=5,"Good",Sales[[#This Row],[Rating]]&lt;5,"Average")</f>
        <v>Good</v>
      </c>
      <c r="M210">
        <f t="shared" si="9"/>
        <v>3</v>
      </c>
      <c r="N210" t="str">
        <f t="shared" si="11"/>
        <v>Mar</v>
      </c>
      <c r="O210">
        <f t="shared" si="10"/>
        <v>2019</v>
      </c>
    </row>
    <row r="211" spans="1:15" x14ac:dyDescent="0.3">
      <c r="A211" t="s">
        <v>22</v>
      </c>
      <c r="B211" t="s">
        <v>23</v>
      </c>
      <c r="C211" t="s">
        <v>18</v>
      </c>
      <c r="D211" t="s">
        <v>14</v>
      </c>
      <c r="E211" t="s">
        <v>19</v>
      </c>
      <c r="F211">
        <v>99.73</v>
      </c>
      <c r="G211">
        <v>9</v>
      </c>
      <c r="H211">
        <v>44.878500000000003</v>
      </c>
      <c r="I211">
        <v>942.44849999999997</v>
      </c>
      <c r="J211" s="3">
        <v>43526</v>
      </c>
      <c r="K211">
        <v>6.5</v>
      </c>
      <c r="L211" t="str" cm="1">
        <f t="array" ref="L211">_xlfn.IFS(Sales[[#This Row],[Rating]]&gt;8,"Super",Sales[[#This Row],[Rating]]&gt;=5,"Good",Sales[[#This Row],[Rating]]&lt;5,"Average")</f>
        <v>Good</v>
      </c>
      <c r="M211">
        <f t="shared" si="9"/>
        <v>3</v>
      </c>
      <c r="N211" t="str">
        <f t="shared" si="11"/>
        <v>Mar</v>
      </c>
      <c r="O211">
        <f t="shared" si="10"/>
        <v>2019</v>
      </c>
    </row>
    <row r="212" spans="1:15" x14ac:dyDescent="0.3">
      <c r="A212" t="s">
        <v>11</v>
      </c>
      <c r="B212" t="s">
        <v>12</v>
      </c>
      <c r="C212" t="s">
        <v>18</v>
      </c>
      <c r="D212" t="s">
        <v>26</v>
      </c>
      <c r="E212" t="s">
        <v>19</v>
      </c>
      <c r="F212">
        <v>26.23</v>
      </c>
      <c r="G212">
        <v>9</v>
      </c>
      <c r="H212">
        <v>11.8035</v>
      </c>
      <c r="I212">
        <v>247.87350000000001</v>
      </c>
      <c r="J212" s="3">
        <v>43490</v>
      </c>
      <c r="K212">
        <v>5.9</v>
      </c>
      <c r="L212" t="str" cm="1">
        <f t="array" ref="L212">_xlfn.IFS(Sales[[#This Row],[Rating]]&gt;8,"Super",Sales[[#This Row],[Rating]]&gt;=5,"Good",Sales[[#This Row],[Rating]]&lt;5,"Average")</f>
        <v>Good</v>
      </c>
      <c r="M212">
        <f t="shared" si="9"/>
        <v>1</v>
      </c>
      <c r="N212" t="str">
        <f t="shared" si="11"/>
        <v>Mar</v>
      </c>
      <c r="O212">
        <f t="shared" si="10"/>
        <v>2019</v>
      </c>
    </row>
    <row r="213" spans="1:15" x14ac:dyDescent="0.3">
      <c r="A213" t="s">
        <v>16</v>
      </c>
      <c r="B213" t="s">
        <v>17</v>
      </c>
      <c r="C213" t="s">
        <v>18</v>
      </c>
      <c r="D213" t="s">
        <v>14</v>
      </c>
      <c r="E213" t="s">
        <v>24</v>
      </c>
      <c r="F213">
        <v>93.26</v>
      </c>
      <c r="G213">
        <v>9</v>
      </c>
      <c r="H213">
        <v>41.966999999999999</v>
      </c>
      <c r="I213">
        <v>881.30700000000002</v>
      </c>
      <c r="J213" s="3">
        <v>43481</v>
      </c>
      <c r="K213">
        <v>8.8000000000000007</v>
      </c>
      <c r="L213" t="str" cm="1">
        <f t="array" ref="L213">_xlfn.IFS(Sales[[#This Row],[Rating]]&gt;8,"Super",Sales[[#This Row],[Rating]]&gt;=5,"Good",Sales[[#This Row],[Rating]]&lt;5,"Average")</f>
        <v>Super</v>
      </c>
      <c r="M213">
        <f t="shared" si="9"/>
        <v>1</v>
      </c>
      <c r="N213" t="str">
        <f t="shared" si="11"/>
        <v>Jan</v>
      </c>
      <c r="O213">
        <f t="shared" si="10"/>
        <v>2019</v>
      </c>
    </row>
    <row r="214" spans="1:15" x14ac:dyDescent="0.3">
      <c r="A214" t="s">
        <v>22</v>
      </c>
      <c r="B214" t="s">
        <v>23</v>
      </c>
      <c r="C214" t="s">
        <v>18</v>
      </c>
      <c r="D214" t="s">
        <v>26</v>
      </c>
      <c r="E214" t="s">
        <v>20</v>
      </c>
      <c r="F214">
        <v>92.36</v>
      </c>
      <c r="G214">
        <v>5</v>
      </c>
      <c r="H214">
        <v>23.09</v>
      </c>
      <c r="I214">
        <v>484.89</v>
      </c>
      <c r="J214" s="3">
        <v>43544</v>
      </c>
      <c r="K214">
        <v>4.9000000000000004</v>
      </c>
      <c r="L214" t="str" cm="1">
        <f t="array" ref="L214">_xlfn.IFS(Sales[[#This Row],[Rating]]&gt;8,"Super",Sales[[#This Row],[Rating]]&gt;=5,"Good",Sales[[#This Row],[Rating]]&lt;5,"Average")</f>
        <v>Average</v>
      </c>
      <c r="M214">
        <f t="shared" si="9"/>
        <v>3</v>
      </c>
      <c r="N214" t="str">
        <f t="shared" si="11"/>
        <v>Jan</v>
      </c>
      <c r="O214">
        <f t="shared" si="10"/>
        <v>2019</v>
      </c>
    </row>
    <row r="215" spans="1:15" x14ac:dyDescent="0.3">
      <c r="A215" t="s">
        <v>22</v>
      </c>
      <c r="B215" t="s">
        <v>23</v>
      </c>
      <c r="C215" t="s">
        <v>18</v>
      </c>
      <c r="D215" t="s">
        <v>26</v>
      </c>
      <c r="E215" t="s">
        <v>21</v>
      </c>
      <c r="F215">
        <v>46.42</v>
      </c>
      <c r="G215">
        <v>3</v>
      </c>
      <c r="H215">
        <v>6.9630000000000001</v>
      </c>
      <c r="I215">
        <v>146.22300000000001</v>
      </c>
      <c r="J215" s="3">
        <v>43469</v>
      </c>
      <c r="K215">
        <v>4.4000000000000004</v>
      </c>
      <c r="L215" t="str" cm="1">
        <f t="array" ref="L215">_xlfn.IFS(Sales[[#This Row],[Rating]]&gt;8,"Super",Sales[[#This Row],[Rating]]&gt;=5,"Good",Sales[[#This Row],[Rating]]&lt;5,"Average")</f>
        <v>Average</v>
      </c>
      <c r="M215">
        <f t="shared" si="9"/>
        <v>1</v>
      </c>
      <c r="N215" t="str">
        <f t="shared" si="11"/>
        <v>Mar</v>
      </c>
      <c r="O215">
        <f t="shared" si="10"/>
        <v>2019</v>
      </c>
    </row>
    <row r="216" spans="1:15" x14ac:dyDescent="0.3">
      <c r="A216" t="s">
        <v>22</v>
      </c>
      <c r="B216" t="s">
        <v>23</v>
      </c>
      <c r="C216" t="s">
        <v>13</v>
      </c>
      <c r="D216" t="s">
        <v>14</v>
      </c>
      <c r="E216" t="s">
        <v>21</v>
      </c>
      <c r="F216">
        <v>29.61</v>
      </c>
      <c r="G216">
        <v>7</v>
      </c>
      <c r="H216">
        <v>10.3635</v>
      </c>
      <c r="I216">
        <v>217.6335</v>
      </c>
      <c r="J216" s="3">
        <v>43535</v>
      </c>
      <c r="K216">
        <v>6.5</v>
      </c>
      <c r="L216" t="str" cm="1">
        <f t="array" ref="L216">_xlfn.IFS(Sales[[#This Row],[Rating]]&gt;8,"Super",Sales[[#This Row],[Rating]]&gt;=5,"Good",Sales[[#This Row],[Rating]]&lt;5,"Average")</f>
        <v>Good</v>
      </c>
      <c r="M216">
        <f t="shared" si="9"/>
        <v>3</v>
      </c>
      <c r="N216" t="str">
        <f t="shared" si="11"/>
        <v>Jan</v>
      </c>
      <c r="O216">
        <f t="shared" si="10"/>
        <v>2019</v>
      </c>
    </row>
    <row r="217" spans="1:15" x14ac:dyDescent="0.3">
      <c r="A217" t="s">
        <v>11</v>
      </c>
      <c r="B217" t="s">
        <v>12</v>
      </c>
      <c r="C217" t="s">
        <v>18</v>
      </c>
      <c r="D217" t="s">
        <v>26</v>
      </c>
      <c r="E217" t="s">
        <v>20</v>
      </c>
      <c r="F217">
        <v>18.28</v>
      </c>
      <c r="G217">
        <v>1</v>
      </c>
      <c r="H217">
        <v>0.91400000000000003</v>
      </c>
      <c r="I217">
        <v>19.193999999999999</v>
      </c>
      <c r="J217" s="3">
        <v>43546</v>
      </c>
      <c r="K217">
        <v>8.3000000000000007</v>
      </c>
      <c r="L217" t="str" cm="1">
        <f t="array" ref="L217">_xlfn.IFS(Sales[[#This Row],[Rating]]&gt;8,"Super",Sales[[#This Row],[Rating]]&gt;=5,"Good",Sales[[#This Row],[Rating]]&lt;5,"Average")</f>
        <v>Super</v>
      </c>
      <c r="M217">
        <f t="shared" si="9"/>
        <v>3</v>
      </c>
      <c r="N217" t="str">
        <f t="shared" si="11"/>
        <v>Mar</v>
      </c>
      <c r="O217">
        <f t="shared" si="10"/>
        <v>2019</v>
      </c>
    </row>
    <row r="218" spans="1:15" x14ac:dyDescent="0.3">
      <c r="A218" t="s">
        <v>22</v>
      </c>
      <c r="B218" t="s">
        <v>23</v>
      </c>
      <c r="C218" t="s">
        <v>18</v>
      </c>
      <c r="D218" t="s">
        <v>14</v>
      </c>
      <c r="E218" t="s">
        <v>21</v>
      </c>
      <c r="F218">
        <v>24.77</v>
      </c>
      <c r="G218">
        <v>5</v>
      </c>
      <c r="H218">
        <v>6.1924999999999999</v>
      </c>
      <c r="I218">
        <v>130.04249999999999</v>
      </c>
      <c r="J218" s="3">
        <v>43548</v>
      </c>
      <c r="K218">
        <v>8.5</v>
      </c>
      <c r="L218" t="str" cm="1">
        <f t="array" ref="L218">_xlfn.IFS(Sales[[#This Row],[Rating]]&gt;8,"Super",Sales[[#This Row],[Rating]]&gt;=5,"Good",Sales[[#This Row],[Rating]]&lt;5,"Average")</f>
        <v>Super</v>
      </c>
      <c r="M218">
        <f t="shared" si="9"/>
        <v>3</v>
      </c>
      <c r="N218" t="str">
        <f t="shared" si="11"/>
        <v>Mar</v>
      </c>
      <c r="O218">
        <f t="shared" si="10"/>
        <v>2019</v>
      </c>
    </row>
    <row r="219" spans="1:15" x14ac:dyDescent="0.3">
      <c r="A219" t="s">
        <v>11</v>
      </c>
      <c r="B219" t="s">
        <v>12</v>
      </c>
      <c r="C219" t="s">
        <v>13</v>
      </c>
      <c r="D219" t="s">
        <v>14</v>
      </c>
      <c r="E219" t="s">
        <v>19</v>
      </c>
      <c r="F219">
        <v>94.64</v>
      </c>
      <c r="G219">
        <v>3</v>
      </c>
      <c r="H219">
        <v>14.196</v>
      </c>
      <c r="I219">
        <v>298.11599999999999</v>
      </c>
      <c r="J219" s="3">
        <v>43517</v>
      </c>
      <c r="K219">
        <v>5.5</v>
      </c>
      <c r="L219" t="str" cm="1">
        <f t="array" ref="L219">_xlfn.IFS(Sales[[#This Row],[Rating]]&gt;8,"Super",Sales[[#This Row],[Rating]]&gt;=5,"Good",Sales[[#This Row],[Rating]]&lt;5,"Average")</f>
        <v>Good</v>
      </c>
      <c r="M219">
        <f t="shared" si="9"/>
        <v>2</v>
      </c>
      <c r="N219" t="str">
        <f t="shared" si="11"/>
        <v>Mar</v>
      </c>
      <c r="O219">
        <f t="shared" si="10"/>
        <v>2019</v>
      </c>
    </row>
    <row r="220" spans="1:15" x14ac:dyDescent="0.3">
      <c r="A220" t="s">
        <v>22</v>
      </c>
      <c r="B220" t="s">
        <v>23</v>
      </c>
      <c r="C220" t="s">
        <v>18</v>
      </c>
      <c r="D220" t="s">
        <v>26</v>
      </c>
      <c r="E220" t="s">
        <v>25</v>
      </c>
      <c r="F220">
        <v>94.87</v>
      </c>
      <c r="G220">
        <v>8</v>
      </c>
      <c r="H220">
        <v>37.948</v>
      </c>
      <c r="I220">
        <v>796.90800000000002</v>
      </c>
      <c r="J220" s="3">
        <v>43508</v>
      </c>
      <c r="K220">
        <v>8.6999999999999993</v>
      </c>
      <c r="L220" t="str" cm="1">
        <f t="array" ref="L220">_xlfn.IFS(Sales[[#This Row],[Rating]]&gt;8,"Super",Sales[[#This Row],[Rating]]&gt;=5,"Good",Sales[[#This Row],[Rating]]&lt;5,"Average")</f>
        <v>Super</v>
      </c>
      <c r="M220">
        <f t="shared" si="9"/>
        <v>2</v>
      </c>
      <c r="N220" t="str">
        <f t="shared" si="11"/>
        <v>Feb</v>
      </c>
      <c r="O220">
        <f t="shared" si="10"/>
        <v>2019</v>
      </c>
    </row>
    <row r="221" spans="1:15" x14ac:dyDescent="0.3">
      <c r="A221" t="s">
        <v>22</v>
      </c>
      <c r="B221" t="s">
        <v>23</v>
      </c>
      <c r="C221" t="s">
        <v>18</v>
      </c>
      <c r="D221" t="s">
        <v>14</v>
      </c>
      <c r="E221" t="s">
        <v>24</v>
      </c>
      <c r="F221">
        <v>57.34</v>
      </c>
      <c r="G221">
        <v>3</v>
      </c>
      <c r="H221">
        <v>8.6010000000000009</v>
      </c>
      <c r="I221">
        <v>180.62100000000001</v>
      </c>
      <c r="J221" s="3">
        <v>43534</v>
      </c>
      <c r="K221">
        <v>7.9</v>
      </c>
      <c r="L221" t="str" cm="1">
        <f t="array" ref="L221">_xlfn.IFS(Sales[[#This Row],[Rating]]&gt;8,"Super",Sales[[#This Row],[Rating]]&gt;=5,"Good",Sales[[#This Row],[Rating]]&lt;5,"Average")</f>
        <v>Good</v>
      </c>
      <c r="M221">
        <f t="shared" si="9"/>
        <v>3</v>
      </c>
      <c r="N221" t="str">
        <f t="shared" si="11"/>
        <v>Feb</v>
      </c>
      <c r="O221">
        <f t="shared" si="10"/>
        <v>2019</v>
      </c>
    </row>
    <row r="222" spans="1:15" x14ac:dyDescent="0.3">
      <c r="A222" t="s">
        <v>22</v>
      </c>
      <c r="B222" t="s">
        <v>23</v>
      </c>
      <c r="C222" t="s">
        <v>18</v>
      </c>
      <c r="D222" t="s">
        <v>26</v>
      </c>
      <c r="E222" t="s">
        <v>19</v>
      </c>
      <c r="F222">
        <v>45.35</v>
      </c>
      <c r="G222">
        <v>6</v>
      </c>
      <c r="H222">
        <v>13.605</v>
      </c>
      <c r="I222">
        <v>285.70499999999998</v>
      </c>
      <c r="J222" s="3">
        <v>43496</v>
      </c>
      <c r="K222">
        <v>6.1</v>
      </c>
      <c r="L222" t="str" cm="1">
        <f t="array" ref="L222">_xlfn.IFS(Sales[[#This Row],[Rating]]&gt;8,"Super",Sales[[#This Row],[Rating]]&gt;=5,"Good",Sales[[#This Row],[Rating]]&lt;5,"Average")</f>
        <v>Good</v>
      </c>
      <c r="M222">
        <f t="shared" si="9"/>
        <v>1</v>
      </c>
      <c r="N222" t="str">
        <f t="shared" si="11"/>
        <v>Mar</v>
      </c>
      <c r="O222">
        <f t="shared" si="10"/>
        <v>2019</v>
      </c>
    </row>
    <row r="223" spans="1:15" x14ac:dyDescent="0.3">
      <c r="A223" t="s">
        <v>22</v>
      </c>
      <c r="B223" t="s">
        <v>23</v>
      </c>
      <c r="C223" t="s">
        <v>18</v>
      </c>
      <c r="D223" t="s">
        <v>26</v>
      </c>
      <c r="E223" t="s">
        <v>24</v>
      </c>
      <c r="F223">
        <v>62.08</v>
      </c>
      <c r="G223">
        <v>7</v>
      </c>
      <c r="H223">
        <v>21.728000000000002</v>
      </c>
      <c r="I223">
        <v>456.28800000000001</v>
      </c>
      <c r="J223" s="3">
        <v>43530</v>
      </c>
      <c r="K223">
        <v>5.4</v>
      </c>
      <c r="L223" t="str" cm="1">
        <f t="array" ref="L223">_xlfn.IFS(Sales[[#This Row],[Rating]]&gt;8,"Super",Sales[[#This Row],[Rating]]&gt;=5,"Good",Sales[[#This Row],[Rating]]&lt;5,"Average")</f>
        <v>Good</v>
      </c>
      <c r="M223">
        <f t="shared" si="9"/>
        <v>3</v>
      </c>
      <c r="N223" t="str">
        <f t="shared" si="11"/>
        <v>Jan</v>
      </c>
      <c r="O223">
        <f t="shared" si="10"/>
        <v>2019</v>
      </c>
    </row>
    <row r="224" spans="1:15" x14ac:dyDescent="0.3">
      <c r="A224" t="s">
        <v>16</v>
      </c>
      <c r="B224" t="s">
        <v>17</v>
      </c>
      <c r="C224" t="s">
        <v>18</v>
      </c>
      <c r="D224" t="s">
        <v>26</v>
      </c>
      <c r="E224" t="s">
        <v>19</v>
      </c>
      <c r="F224">
        <v>11.81</v>
      </c>
      <c r="G224">
        <v>5</v>
      </c>
      <c r="H224">
        <v>2.9525000000000001</v>
      </c>
      <c r="I224">
        <v>62.002499999999998</v>
      </c>
      <c r="J224" s="3">
        <v>43513</v>
      </c>
      <c r="K224">
        <v>9.4</v>
      </c>
      <c r="L224" t="str" cm="1">
        <f t="array" ref="L224">_xlfn.IFS(Sales[[#This Row],[Rating]]&gt;8,"Super",Sales[[#This Row],[Rating]]&gt;=5,"Good",Sales[[#This Row],[Rating]]&lt;5,"Average")</f>
        <v>Super</v>
      </c>
      <c r="M224">
        <f t="shared" si="9"/>
        <v>2</v>
      </c>
      <c r="N224" t="str">
        <f t="shared" si="11"/>
        <v>Mar</v>
      </c>
      <c r="O224">
        <f t="shared" si="10"/>
        <v>2019</v>
      </c>
    </row>
    <row r="225" spans="1:15" x14ac:dyDescent="0.3">
      <c r="A225" t="s">
        <v>16</v>
      </c>
      <c r="B225" t="s">
        <v>17</v>
      </c>
      <c r="C225" t="s">
        <v>13</v>
      </c>
      <c r="D225" t="s">
        <v>14</v>
      </c>
      <c r="E225" t="s">
        <v>25</v>
      </c>
      <c r="F225">
        <v>12.54</v>
      </c>
      <c r="G225">
        <v>1</v>
      </c>
      <c r="H225">
        <v>0.627</v>
      </c>
      <c r="I225">
        <v>13.167</v>
      </c>
      <c r="J225" s="3">
        <v>43517</v>
      </c>
      <c r="K225">
        <v>8.1999999999999993</v>
      </c>
      <c r="L225" t="str" cm="1">
        <f t="array" ref="L225">_xlfn.IFS(Sales[[#This Row],[Rating]]&gt;8,"Super",Sales[[#This Row],[Rating]]&gt;=5,"Good",Sales[[#This Row],[Rating]]&lt;5,"Average")</f>
        <v>Super</v>
      </c>
      <c r="M225">
        <f t="shared" si="9"/>
        <v>2</v>
      </c>
      <c r="N225" t="str">
        <f t="shared" si="11"/>
        <v>Feb</v>
      </c>
      <c r="O225">
        <f t="shared" si="10"/>
        <v>2019</v>
      </c>
    </row>
    <row r="226" spans="1:15" x14ac:dyDescent="0.3">
      <c r="A226" t="s">
        <v>11</v>
      </c>
      <c r="B226" t="s">
        <v>12</v>
      </c>
      <c r="C226" t="s">
        <v>18</v>
      </c>
      <c r="D226" t="s">
        <v>26</v>
      </c>
      <c r="E226" t="s">
        <v>24</v>
      </c>
      <c r="F226">
        <v>43.25</v>
      </c>
      <c r="G226">
        <v>2</v>
      </c>
      <c r="H226">
        <v>4.3250000000000002</v>
      </c>
      <c r="I226">
        <v>90.825000000000003</v>
      </c>
      <c r="J226" s="3">
        <v>43544</v>
      </c>
      <c r="K226">
        <v>6.2</v>
      </c>
      <c r="L226" t="str" cm="1">
        <f t="array" ref="L226">_xlfn.IFS(Sales[[#This Row],[Rating]]&gt;8,"Super",Sales[[#This Row],[Rating]]&gt;=5,"Good",Sales[[#This Row],[Rating]]&lt;5,"Average")</f>
        <v>Good</v>
      </c>
      <c r="M226">
        <f t="shared" si="9"/>
        <v>3</v>
      </c>
      <c r="N226" t="str">
        <f t="shared" si="11"/>
        <v>Feb</v>
      </c>
      <c r="O226">
        <f t="shared" si="10"/>
        <v>2019</v>
      </c>
    </row>
    <row r="227" spans="1:15" x14ac:dyDescent="0.3">
      <c r="A227" t="s">
        <v>16</v>
      </c>
      <c r="B227" t="s">
        <v>17</v>
      </c>
      <c r="C227" t="s">
        <v>13</v>
      </c>
      <c r="D227" t="s">
        <v>14</v>
      </c>
      <c r="E227" t="s">
        <v>21</v>
      </c>
      <c r="F227">
        <v>87.16</v>
      </c>
      <c r="G227">
        <v>2</v>
      </c>
      <c r="H227">
        <v>8.7159999999999993</v>
      </c>
      <c r="I227">
        <v>183.036</v>
      </c>
      <c r="J227" s="3">
        <v>43476</v>
      </c>
      <c r="K227">
        <v>9.6999999999999993</v>
      </c>
      <c r="L227" t="str" cm="1">
        <f t="array" ref="L227">_xlfn.IFS(Sales[[#This Row],[Rating]]&gt;8,"Super",Sales[[#This Row],[Rating]]&gt;=5,"Good",Sales[[#This Row],[Rating]]&lt;5,"Average")</f>
        <v>Super</v>
      </c>
      <c r="M227">
        <f t="shared" si="9"/>
        <v>1</v>
      </c>
      <c r="N227" t="str">
        <f t="shared" si="11"/>
        <v>Mar</v>
      </c>
      <c r="O227">
        <f t="shared" si="10"/>
        <v>2019</v>
      </c>
    </row>
    <row r="228" spans="1:15" x14ac:dyDescent="0.3">
      <c r="A228" t="s">
        <v>22</v>
      </c>
      <c r="B228" t="s">
        <v>23</v>
      </c>
      <c r="C228" t="s">
        <v>13</v>
      </c>
      <c r="D228" t="s">
        <v>26</v>
      </c>
      <c r="E228" t="s">
        <v>15</v>
      </c>
      <c r="F228">
        <v>69.37</v>
      </c>
      <c r="G228">
        <v>9</v>
      </c>
      <c r="H228">
        <v>31.2165</v>
      </c>
      <c r="I228">
        <v>655.54650000000004</v>
      </c>
      <c r="J228" s="3">
        <v>43491</v>
      </c>
      <c r="K228">
        <v>4</v>
      </c>
      <c r="L228" t="str" cm="1">
        <f t="array" ref="L228">_xlfn.IFS(Sales[[#This Row],[Rating]]&gt;8,"Super",Sales[[#This Row],[Rating]]&gt;=5,"Good",Sales[[#This Row],[Rating]]&lt;5,"Average")</f>
        <v>Average</v>
      </c>
      <c r="M228">
        <f t="shared" si="9"/>
        <v>1</v>
      </c>
      <c r="N228" t="str">
        <f t="shared" si="11"/>
        <v>Jan</v>
      </c>
      <c r="O228">
        <f t="shared" si="10"/>
        <v>2019</v>
      </c>
    </row>
    <row r="229" spans="1:15" x14ac:dyDescent="0.3">
      <c r="A229" t="s">
        <v>16</v>
      </c>
      <c r="B229" t="s">
        <v>17</v>
      </c>
      <c r="C229" t="s">
        <v>13</v>
      </c>
      <c r="D229" t="s">
        <v>26</v>
      </c>
      <c r="E229" t="s">
        <v>19</v>
      </c>
      <c r="F229">
        <v>37.06</v>
      </c>
      <c r="G229">
        <v>4</v>
      </c>
      <c r="H229">
        <v>7.4119999999999999</v>
      </c>
      <c r="I229">
        <v>155.65199999999999</v>
      </c>
      <c r="J229" s="3">
        <v>43496</v>
      </c>
      <c r="K229">
        <v>9.6999999999999993</v>
      </c>
      <c r="L229" t="str" cm="1">
        <f t="array" ref="L229">_xlfn.IFS(Sales[[#This Row],[Rating]]&gt;8,"Super",Sales[[#This Row],[Rating]]&gt;=5,"Good",Sales[[#This Row],[Rating]]&lt;5,"Average")</f>
        <v>Super</v>
      </c>
      <c r="M229">
        <f t="shared" si="9"/>
        <v>1</v>
      </c>
      <c r="N229" t="str">
        <f t="shared" si="11"/>
        <v>Jan</v>
      </c>
      <c r="O229">
        <f t="shared" si="10"/>
        <v>2019</v>
      </c>
    </row>
    <row r="230" spans="1:15" x14ac:dyDescent="0.3">
      <c r="A230" t="s">
        <v>22</v>
      </c>
      <c r="B230" t="s">
        <v>23</v>
      </c>
      <c r="C230" t="s">
        <v>13</v>
      </c>
      <c r="D230" t="s">
        <v>14</v>
      </c>
      <c r="E230" t="s">
        <v>19</v>
      </c>
      <c r="F230">
        <v>90.7</v>
      </c>
      <c r="G230">
        <v>6</v>
      </c>
      <c r="H230">
        <v>27.21</v>
      </c>
      <c r="I230">
        <v>571.41</v>
      </c>
      <c r="J230" s="3">
        <v>43522</v>
      </c>
      <c r="K230">
        <v>5.3</v>
      </c>
      <c r="L230" t="str" cm="1">
        <f t="array" ref="L230">_xlfn.IFS(Sales[[#This Row],[Rating]]&gt;8,"Super",Sales[[#This Row],[Rating]]&gt;=5,"Good",Sales[[#This Row],[Rating]]&lt;5,"Average")</f>
        <v>Good</v>
      </c>
      <c r="M230">
        <f t="shared" si="9"/>
        <v>2</v>
      </c>
      <c r="N230" t="str">
        <f t="shared" si="11"/>
        <v>Jan</v>
      </c>
      <c r="O230">
        <f t="shared" si="10"/>
        <v>2019</v>
      </c>
    </row>
    <row r="231" spans="1:15" x14ac:dyDescent="0.3">
      <c r="A231" t="s">
        <v>11</v>
      </c>
      <c r="B231" t="s">
        <v>12</v>
      </c>
      <c r="C231" t="s">
        <v>18</v>
      </c>
      <c r="D231" t="s">
        <v>14</v>
      </c>
      <c r="E231" t="s">
        <v>20</v>
      </c>
      <c r="F231">
        <v>63.42</v>
      </c>
      <c r="G231">
        <v>8</v>
      </c>
      <c r="H231">
        <v>25.367999999999999</v>
      </c>
      <c r="I231">
        <v>532.72799999999995</v>
      </c>
      <c r="J231" s="3">
        <v>43535</v>
      </c>
      <c r="K231">
        <v>7.4</v>
      </c>
      <c r="L231" t="str" cm="1">
        <f t="array" ref="L231">_xlfn.IFS(Sales[[#This Row],[Rating]]&gt;8,"Super",Sales[[#This Row],[Rating]]&gt;=5,"Good",Sales[[#This Row],[Rating]]&lt;5,"Average")</f>
        <v>Good</v>
      </c>
      <c r="M231">
        <f t="shared" si="9"/>
        <v>3</v>
      </c>
      <c r="N231" t="str">
        <f t="shared" si="11"/>
        <v>Feb</v>
      </c>
      <c r="O231">
        <f t="shared" si="10"/>
        <v>2019</v>
      </c>
    </row>
    <row r="232" spans="1:15" x14ac:dyDescent="0.3">
      <c r="A232" t="s">
        <v>22</v>
      </c>
      <c r="B232" t="s">
        <v>23</v>
      </c>
      <c r="C232" t="s">
        <v>18</v>
      </c>
      <c r="D232" t="s">
        <v>14</v>
      </c>
      <c r="E232" t="s">
        <v>25</v>
      </c>
      <c r="F232">
        <v>81.37</v>
      </c>
      <c r="G232">
        <v>2</v>
      </c>
      <c r="H232">
        <v>8.1370000000000005</v>
      </c>
      <c r="I232">
        <v>170.87700000000001</v>
      </c>
      <c r="J232" s="3">
        <v>43491</v>
      </c>
      <c r="K232">
        <v>6.5</v>
      </c>
      <c r="L232" t="str" cm="1">
        <f t="array" ref="L232">_xlfn.IFS(Sales[[#This Row],[Rating]]&gt;8,"Super",Sales[[#This Row],[Rating]]&gt;=5,"Good",Sales[[#This Row],[Rating]]&lt;5,"Average")</f>
        <v>Good</v>
      </c>
      <c r="M232">
        <f t="shared" si="9"/>
        <v>1</v>
      </c>
      <c r="N232" t="str">
        <f t="shared" si="11"/>
        <v>Mar</v>
      </c>
      <c r="O232">
        <f t="shared" si="10"/>
        <v>2019</v>
      </c>
    </row>
    <row r="233" spans="1:15" x14ac:dyDescent="0.3">
      <c r="A233" t="s">
        <v>22</v>
      </c>
      <c r="B233" t="s">
        <v>23</v>
      </c>
      <c r="C233" t="s">
        <v>13</v>
      </c>
      <c r="D233" t="s">
        <v>14</v>
      </c>
      <c r="E233" t="s">
        <v>19</v>
      </c>
      <c r="F233">
        <v>10.59</v>
      </c>
      <c r="G233">
        <v>3</v>
      </c>
      <c r="H233">
        <v>1.5885</v>
      </c>
      <c r="I233">
        <v>33.358499999999999</v>
      </c>
      <c r="J233" s="3">
        <v>43536</v>
      </c>
      <c r="K233">
        <v>8.6999999999999993</v>
      </c>
      <c r="L233" t="str" cm="1">
        <f t="array" ref="L233">_xlfn.IFS(Sales[[#This Row],[Rating]]&gt;8,"Super",Sales[[#This Row],[Rating]]&gt;=5,"Good",Sales[[#This Row],[Rating]]&lt;5,"Average")</f>
        <v>Super</v>
      </c>
      <c r="M233">
        <f t="shared" si="9"/>
        <v>3</v>
      </c>
      <c r="N233" t="str">
        <f t="shared" si="11"/>
        <v>Jan</v>
      </c>
      <c r="O233">
        <f t="shared" si="10"/>
        <v>2019</v>
      </c>
    </row>
    <row r="234" spans="1:15" x14ac:dyDescent="0.3">
      <c r="A234" t="s">
        <v>22</v>
      </c>
      <c r="B234" t="s">
        <v>23</v>
      </c>
      <c r="C234" t="s">
        <v>18</v>
      </c>
      <c r="D234" t="s">
        <v>14</v>
      </c>
      <c r="E234" t="s">
        <v>15</v>
      </c>
      <c r="F234">
        <v>84.09</v>
      </c>
      <c r="G234">
        <v>9</v>
      </c>
      <c r="H234">
        <v>37.840499999999999</v>
      </c>
      <c r="I234">
        <v>794.65049999999997</v>
      </c>
      <c r="J234" s="3">
        <v>43507</v>
      </c>
      <c r="K234">
        <v>8</v>
      </c>
      <c r="L234" t="str" cm="1">
        <f t="array" ref="L234">_xlfn.IFS(Sales[[#This Row],[Rating]]&gt;8,"Super",Sales[[#This Row],[Rating]]&gt;=5,"Good",Sales[[#This Row],[Rating]]&lt;5,"Average")</f>
        <v>Good</v>
      </c>
      <c r="M234">
        <f t="shared" si="9"/>
        <v>2</v>
      </c>
      <c r="N234" t="str">
        <f t="shared" si="11"/>
        <v>Mar</v>
      </c>
      <c r="O234">
        <f t="shared" si="10"/>
        <v>2019</v>
      </c>
    </row>
    <row r="235" spans="1:15" x14ac:dyDescent="0.3">
      <c r="A235" t="s">
        <v>22</v>
      </c>
      <c r="B235" t="s">
        <v>23</v>
      </c>
      <c r="C235" t="s">
        <v>13</v>
      </c>
      <c r="D235" t="s">
        <v>26</v>
      </c>
      <c r="E235" t="s">
        <v>25</v>
      </c>
      <c r="F235">
        <v>73.819999999999993</v>
      </c>
      <c r="G235">
        <v>4</v>
      </c>
      <c r="H235">
        <v>14.763999999999999</v>
      </c>
      <c r="I235">
        <v>310.04399999999998</v>
      </c>
      <c r="J235" s="3">
        <v>43517</v>
      </c>
      <c r="K235">
        <v>6.7</v>
      </c>
      <c r="L235" t="str" cm="1">
        <f t="array" ref="L235">_xlfn.IFS(Sales[[#This Row],[Rating]]&gt;8,"Super",Sales[[#This Row],[Rating]]&gt;=5,"Good",Sales[[#This Row],[Rating]]&lt;5,"Average")</f>
        <v>Good</v>
      </c>
      <c r="M235">
        <f t="shared" si="9"/>
        <v>2</v>
      </c>
      <c r="N235" t="str">
        <f t="shared" si="11"/>
        <v>Feb</v>
      </c>
      <c r="O235">
        <f t="shared" si="10"/>
        <v>2019</v>
      </c>
    </row>
    <row r="236" spans="1:15" x14ac:dyDescent="0.3">
      <c r="A236" t="s">
        <v>11</v>
      </c>
      <c r="B236" t="s">
        <v>12</v>
      </c>
      <c r="C236" t="s">
        <v>13</v>
      </c>
      <c r="D236" t="s">
        <v>26</v>
      </c>
      <c r="E236" t="s">
        <v>15</v>
      </c>
      <c r="F236">
        <v>51.94</v>
      </c>
      <c r="G236">
        <v>10</v>
      </c>
      <c r="H236">
        <v>25.97</v>
      </c>
      <c r="I236">
        <v>545.37</v>
      </c>
      <c r="J236" s="3">
        <v>43533</v>
      </c>
      <c r="K236">
        <v>6.5</v>
      </c>
      <c r="L236" t="str" cm="1">
        <f t="array" ref="L236">_xlfn.IFS(Sales[[#This Row],[Rating]]&gt;8,"Super",Sales[[#This Row],[Rating]]&gt;=5,"Good",Sales[[#This Row],[Rating]]&lt;5,"Average")</f>
        <v>Good</v>
      </c>
      <c r="M236">
        <f t="shared" si="9"/>
        <v>3</v>
      </c>
      <c r="N236" t="str">
        <f t="shared" si="11"/>
        <v>Feb</v>
      </c>
      <c r="O236">
        <f t="shared" si="10"/>
        <v>2019</v>
      </c>
    </row>
    <row r="237" spans="1:15" x14ac:dyDescent="0.3">
      <c r="A237" t="s">
        <v>11</v>
      </c>
      <c r="B237" t="s">
        <v>12</v>
      </c>
      <c r="C237" t="s">
        <v>18</v>
      </c>
      <c r="D237" t="s">
        <v>14</v>
      </c>
      <c r="E237" t="s">
        <v>21</v>
      </c>
      <c r="F237">
        <v>93.14</v>
      </c>
      <c r="G237">
        <v>2</v>
      </c>
      <c r="H237">
        <v>9.3140000000000001</v>
      </c>
      <c r="I237">
        <v>195.59399999999999</v>
      </c>
      <c r="J237" s="3">
        <v>43485</v>
      </c>
      <c r="K237">
        <v>4.0999999999999996</v>
      </c>
      <c r="L237" t="str" cm="1">
        <f t="array" ref="L237">_xlfn.IFS(Sales[[#This Row],[Rating]]&gt;8,"Super",Sales[[#This Row],[Rating]]&gt;=5,"Good",Sales[[#This Row],[Rating]]&lt;5,"Average")</f>
        <v>Average</v>
      </c>
      <c r="M237">
        <f t="shared" si="9"/>
        <v>1</v>
      </c>
      <c r="N237" t="str">
        <f t="shared" si="11"/>
        <v>Mar</v>
      </c>
      <c r="O237">
        <f t="shared" si="10"/>
        <v>2019</v>
      </c>
    </row>
    <row r="238" spans="1:15" x14ac:dyDescent="0.3">
      <c r="A238" t="s">
        <v>16</v>
      </c>
      <c r="B238" t="s">
        <v>17</v>
      </c>
      <c r="C238" t="s">
        <v>18</v>
      </c>
      <c r="D238" t="s">
        <v>26</v>
      </c>
      <c r="E238" t="s">
        <v>15</v>
      </c>
      <c r="F238">
        <v>17.41</v>
      </c>
      <c r="G238">
        <v>5</v>
      </c>
      <c r="H238">
        <v>4.3525</v>
      </c>
      <c r="I238">
        <v>91.402500000000003</v>
      </c>
      <c r="J238" s="3">
        <v>43493</v>
      </c>
      <c r="K238">
        <v>4.9000000000000004</v>
      </c>
      <c r="L238" t="str" cm="1">
        <f t="array" ref="L238">_xlfn.IFS(Sales[[#This Row],[Rating]]&gt;8,"Super",Sales[[#This Row],[Rating]]&gt;=5,"Good",Sales[[#This Row],[Rating]]&lt;5,"Average")</f>
        <v>Average</v>
      </c>
      <c r="M238">
        <f t="shared" si="9"/>
        <v>1</v>
      </c>
      <c r="N238" t="str">
        <f t="shared" si="11"/>
        <v>Jan</v>
      </c>
      <c r="O238">
        <f t="shared" si="10"/>
        <v>2019</v>
      </c>
    </row>
    <row r="239" spans="1:15" x14ac:dyDescent="0.3">
      <c r="A239" t="s">
        <v>16</v>
      </c>
      <c r="B239" t="s">
        <v>17</v>
      </c>
      <c r="C239" t="s">
        <v>13</v>
      </c>
      <c r="D239" t="s">
        <v>14</v>
      </c>
      <c r="E239" t="s">
        <v>25</v>
      </c>
      <c r="F239">
        <v>44.22</v>
      </c>
      <c r="G239">
        <v>5</v>
      </c>
      <c r="H239">
        <v>11.055</v>
      </c>
      <c r="I239">
        <v>232.155</v>
      </c>
      <c r="J239" s="3">
        <v>43529</v>
      </c>
      <c r="K239">
        <v>8.6</v>
      </c>
      <c r="L239" t="str" cm="1">
        <f t="array" ref="L239">_xlfn.IFS(Sales[[#This Row],[Rating]]&gt;8,"Super",Sales[[#This Row],[Rating]]&gt;=5,"Good",Sales[[#This Row],[Rating]]&lt;5,"Average")</f>
        <v>Super</v>
      </c>
      <c r="M239">
        <f t="shared" si="9"/>
        <v>3</v>
      </c>
      <c r="N239" t="str">
        <f t="shared" si="11"/>
        <v>Jan</v>
      </c>
      <c r="O239">
        <f t="shared" si="10"/>
        <v>2019</v>
      </c>
    </row>
    <row r="240" spans="1:15" x14ac:dyDescent="0.3">
      <c r="A240" t="s">
        <v>22</v>
      </c>
      <c r="B240" t="s">
        <v>23</v>
      </c>
      <c r="C240" t="s">
        <v>13</v>
      </c>
      <c r="D240" t="s">
        <v>14</v>
      </c>
      <c r="E240" t="s">
        <v>19</v>
      </c>
      <c r="F240">
        <v>13.22</v>
      </c>
      <c r="G240">
        <v>5</v>
      </c>
      <c r="H240">
        <v>3.3050000000000002</v>
      </c>
      <c r="I240">
        <v>69.405000000000001</v>
      </c>
      <c r="J240" s="3">
        <v>43526</v>
      </c>
      <c r="K240">
        <v>4.3</v>
      </c>
      <c r="L240" t="str" cm="1">
        <f t="array" ref="L240">_xlfn.IFS(Sales[[#This Row],[Rating]]&gt;8,"Super",Sales[[#This Row],[Rating]]&gt;=5,"Good",Sales[[#This Row],[Rating]]&lt;5,"Average")</f>
        <v>Average</v>
      </c>
      <c r="M240">
        <f t="shared" si="9"/>
        <v>3</v>
      </c>
      <c r="N240" t="str">
        <f t="shared" si="11"/>
        <v>Mar</v>
      </c>
      <c r="O240">
        <f t="shared" si="10"/>
        <v>2019</v>
      </c>
    </row>
    <row r="241" spans="1:15" x14ac:dyDescent="0.3">
      <c r="A241" t="s">
        <v>11</v>
      </c>
      <c r="B241" t="s">
        <v>12</v>
      </c>
      <c r="C241" t="s">
        <v>18</v>
      </c>
      <c r="D241" t="s">
        <v>26</v>
      </c>
      <c r="E241" t="s">
        <v>25</v>
      </c>
      <c r="F241">
        <v>89.69</v>
      </c>
      <c r="G241">
        <v>1</v>
      </c>
      <c r="H241">
        <v>4.4844999999999997</v>
      </c>
      <c r="I241">
        <v>94.174499999999995</v>
      </c>
      <c r="J241" s="3">
        <v>43476</v>
      </c>
      <c r="K241">
        <v>4.9000000000000004</v>
      </c>
      <c r="L241" t="str" cm="1">
        <f t="array" ref="L241">_xlfn.IFS(Sales[[#This Row],[Rating]]&gt;8,"Super",Sales[[#This Row],[Rating]]&gt;=5,"Good",Sales[[#This Row],[Rating]]&lt;5,"Average")</f>
        <v>Average</v>
      </c>
      <c r="M241">
        <f t="shared" si="9"/>
        <v>1</v>
      </c>
      <c r="N241" t="str">
        <f t="shared" si="11"/>
        <v>Mar</v>
      </c>
      <c r="O241">
        <f t="shared" si="10"/>
        <v>2019</v>
      </c>
    </row>
    <row r="242" spans="1:15" x14ac:dyDescent="0.3">
      <c r="A242" t="s">
        <v>11</v>
      </c>
      <c r="B242" t="s">
        <v>12</v>
      </c>
      <c r="C242" t="s">
        <v>18</v>
      </c>
      <c r="D242" t="s">
        <v>26</v>
      </c>
      <c r="E242" t="s">
        <v>24</v>
      </c>
      <c r="F242">
        <v>24.94</v>
      </c>
      <c r="G242">
        <v>9</v>
      </c>
      <c r="H242">
        <v>11.223000000000001</v>
      </c>
      <c r="I242">
        <v>235.68299999999999</v>
      </c>
      <c r="J242" s="3">
        <v>43476</v>
      </c>
      <c r="K242">
        <v>5.6</v>
      </c>
      <c r="L242" t="str" cm="1">
        <f t="array" ref="L242">_xlfn.IFS(Sales[[#This Row],[Rating]]&gt;8,"Super",Sales[[#This Row],[Rating]]&gt;=5,"Good",Sales[[#This Row],[Rating]]&lt;5,"Average")</f>
        <v>Good</v>
      </c>
      <c r="M242">
        <f t="shared" si="9"/>
        <v>1</v>
      </c>
      <c r="N242" t="str">
        <f t="shared" si="11"/>
        <v>Jan</v>
      </c>
      <c r="O242">
        <f t="shared" si="10"/>
        <v>2019</v>
      </c>
    </row>
    <row r="243" spans="1:15" x14ac:dyDescent="0.3">
      <c r="A243" t="s">
        <v>11</v>
      </c>
      <c r="B243" t="s">
        <v>12</v>
      </c>
      <c r="C243" t="s">
        <v>18</v>
      </c>
      <c r="D243" t="s">
        <v>26</v>
      </c>
      <c r="E243" t="s">
        <v>15</v>
      </c>
      <c r="F243">
        <v>59.77</v>
      </c>
      <c r="G243">
        <v>2</v>
      </c>
      <c r="H243">
        <v>5.9770000000000003</v>
      </c>
      <c r="I243">
        <v>125.517</v>
      </c>
      <c r="J243" s="3">
        <v>43535</v>
      </c>
      <c r="K243">
        <v>5.8</v>
      </c>
      <c r="L243" t="str" cm="1">
        <f t="array" ref="L243">_xlfn.IFS(Sales[[#This Row],[Rating]]&gt;8,"Super",Sales[[#This Row],[Rating]]&gt;=5,"Good",Sales[[#This Row],[Rating]]&lt;5,"Average")</f>
        <v>Good</v>
      </c>
      <c r="M243">
        <f t="shared" si="9"/>
        <v>3</v>
      </c>
      <c r="N243" t="str">
        <f t="shared" si="11"/>
        <v>Jan</v>
      </c>
      <c r="O243">
        <f t="shared" si="10"/>
        <v>2019</v>
      </c>
    </row>
    <row r="244" spans="1:15" x14ac:dyDescent="0.3">
      <c r="A244" t="s">
        <v>16</v>
      </c>
      <c r="B244" t="s">
        <v>17</v>
      </c>
      <c r="C244" t="s">
        <v>13</v>
      </c>
      <c r="D244" t="s">
        <v>26</v>
      </c>
      <c r="E244" t="s">
        <v>25</v>
      </c>
      <c r="F244">
        <v>93.2</v>
      </c>
      <c r="G244">
        <v>2</v>
      </c>
      <c r="H244">
        <v>9.32</v>
      </c>
      <c r="I244">
        <v>195.72</v>
      </c>
      <c r="J244" s="3">
        <v>43524</v>
      </c>
      <c r="K244">
        <v>6</v>
      </c>
      <c r="L244" t="str" cm="1">
        <f t="array" ref="L244">_xlfn.IFS(Sales[[#This Row],[Rating]]&gt;8,"Super",Sales[[#This Row],[Rating]]&gt;=5,"Good",Sales[[#This Row],[Rating]]&lt;5,"Average")</f>
        <v>Good</v>
      </c>
      <c r="M244">
        <f t="shared" si="9"/>
        <v>2</v>
      </c>
      <c r="N244" t="str">
        <f t="shared" si="11"/>
        <v>Mar</v>
      </c>
      <c r="O244">
        <f t="shared" si="10"/>
        <v>2019</v>
      </c>
    </row>
    <row r="245" spans="1:15" x14ac:dyDescent="0.3">
      <c r="A245" t="s">
        <v>11</v>
      </c>
      <c r="B245" t="s">
        <v>12</v>
      </c>
      <c r="C245" t="s">
        <v>13</v>
      </c>
      <c r="D245" t="s">
        <v>26</v>
      </c>
      <c r="E245" t="s">
        <v>20</v>
      </c>
      <c r="F245">
        <v>62.65</v>
      </c>
      <c r="G245">
        <v>4</v>
      </c>
      <c r="H245">
        <v>12.53</v>
      </c>
      <c r="I245">
        <v>263.13</v>
      </c>
      <c r="J245" s="3">
        <v>43470</v>
      </c>
      <c r="K245">
        <v>4.2</v>
      </c>
      <c r="L245" t="str" cm="1">
        <f t="array" ref="L245">_xlfn.IFS(Sales[[#This Row],[Rating]]&gt;8,"Super",Sales[[#This Row],[Rating]]&gt;=5,"Good",Sales[[#This Row],[Rating]]&lt;5,"Average")</f>
        <v>Average</v>
      </c>
      <c r="M245">
        <f t="shared" si="9"/>
        <v>1</v>
      </c>
      <c r="N245" t="str">
        <f t="shared" si="11"/>
        <v>Feb</v>
      </c>
      <c r="O245">
        <f t="shared" si="10"/>
        <v>2019</v>
      </c>
    </row>
    <row r="246" spans="1:15" x14ac:dyDescent="0.3">
      <c r="A246" t="s">
        <v>22</v>
      </c>
      <c r="B246" t="s">
        <v>23</v>
      </c>
      <c r="C246" t="s">
        <v>18</v>
      </c>
      <c r="D246" t="s">
        <v>26</v>
      </c>
      <c r="E246" t="s">
        <v>20</v>
      </c>
      <c r="F246">
        <v>93.87</v>
      </c>
      <c r="G246">
        <v>8</v>
      </c>
      <c r="H246">
        <v>37.548000000000002</v>
      </c>
      <c r="I246">
        <v>788.50800000000004</v>
      </c>
      <c r="J246" s="3">
        <v>43498</v>
      </c>
      <c r="K246">
        <v>8.3000000000000007</v>
      </c>
      <c r="L246" t="str" cm="1">
        <f t="array" ref="L246">_xlfn.IFS(Sales[[#This Row],[Rating]]&gt;8,"Super",Sales[[#This Row],[Rating]]&gt;=5,"Good",Sales[[#This Row],[Rating]]&lt;5,"Average")</f>
        <v>Super</v>
      </c>
      <c r="M246">
        <f t="shared" si="9"/>
        <v>2</v>
      </c>
      <c r="N246" t="str">
        <f t="shared" si="11"/>
        <v>Jan</v>
      </c>
      <c r="O246">
        <f t="shared" si="10"/>
        <v>2019</v>
      </c>
    </row>
    <row r="247" spans="1:15" x14ac:dyDescent="0.3">
      <c r="A247" t="s">
        <v>11</v>
      </c>
      <c r="B247" t="s">
        <v>12</v>
      </c>
      <c r="C247" t="s">
        <v>13</v>
      </c>
      <c r="D247" t="s">
        <v>26</v>
      </c>
      <c r="E247" t="s">
        <v>20</v>
      </c>
      <c r="F247">
        <v>47.59</v>
      </c>
      <c r="G247">
        <v>8</v>
      </c>
      <c r="H247">
        <v>19.036000000000001</v>
      </c>
      <c r="I247">
        <v>399.75599999999997</v>
      </c>
      <c r="J247" s="3">
        <v>43466</v>
      </c>
      <c r="K247">
        <v>5.7</v>
      </c>
      <c r="L247" t="str" cm="1">
        <f t="array" ref="L247">_xlfn.IFS(Sales[[#This Row],[Rating]]&gt;8,"Super",Sales[[#This Row],[Rating]]&gt;=5,"Good",Sales[[#This Row],[Rating]]&lt;5,"Average")</f>
        <v>Good</v>
      </c>
      <c r="M247">
        <f t="shared" si="9"/>
        <v>1</v>
      </c>
      <c r="N247" t="str">
        <f t="shared" si="11"/>
        <v>Feb</v>
      </c>
      <c r="O247">
        <f t="shared" si="10"/>
        <v>2019</v>
      </c>
    </row>
    <row r="248" spans="1:15" x14ac:dyDescent="0.3">
      <c r="A248" t="s">
        <v>22</v>
      </c>
      <c r="B248" t="s">
        <v>23</v>
      </c>
      <c r="C248" t="s">
        <v>13</v>
      </c>
      <c r="D248" t="s">
        <v>14</v>
      </c>
      <c r="E248" t="s">
        <v>19</v>
      </c>
      <c r="F248">
        <v>81.400000000000006</v>
      </c>
      <c r="G248">
        <v>3</v>
      </c>
      <c r="H248">
        <v>12.21</v>
      </c>
      <c r="I248">
        <v>256.41000000000003</v>
      </c>
      <c r="J248" s="3">
        <v>43505</v>
      </c>
      <c r="K248">
        <v>4.8</v>
      </c>
      <c r="L248" t="str" cm="1">
        <f t="array" ref="L248">_xlfn.IFS(Sales[[#This Row],[Rating]]&gt;8,"Super",Sales[[#This Row],[Rating]]&gt;=5,"Good",Sales[[#This Row],[Rating]]&lt;5,"Average")</f>
        <v>Average</v>
      </c>
      <c r="M248">
        <f t="shared" si="9"/>
        <v>2</v>
      </c>
      <c r="N248" t="str">
        <f t="shared" si="11"/>
        <v>Jan</v>
      </c>
      <c r="O248">
        <f t="shared" si="10"/>
        <v>2019</v>
      </c>
    </row>
    <row r="249" spans="1:15" x14ac:dyDescent="0.3">
      <c r="A249" t="s">
        <v>11</v>
      </c>
      <c r="B249" t="s">
        <v>12</v>
      </c>
      <c r="C249" t="s">
        <v>13</v>
      </c>
      <c r="D249" t="s">
        <v>26</v>
      </c>
      <c r="E249" t="s">
        <v>25</v>
      </c>
      <c r="F249">
        <v>17.940000000000001</v>
      </c>
      <c r="G249">
        <v>5</v>
      </c>
      <c r="H249">
        <v>4.4850000000000003</v>
      </c>
      <c r="I249">
        <v>94.185000000000002</v>
      </c>
      <c r="J249" s="3">
        <v>43488</v>
      </c>
      <c r="K249">
        <v>6.8</v>
      </c>
      <c r="L249" t="str" cm="1">
        <f t="array" ref="L249">_xlfn.IFS(Sales[[#This Row],[Rating]]&gt;8,"Super",Sales[[#This Row],[Rating]]&gt;=5,"Good",Sales[[#This Row],[Rating]]&lt;5,"Average")</f>
        <v>Good</v>
      </c>
      <c r="M249">
        <f t="shared" si="9"/>
        <v>1</v>
      </c>
      <c r="N249" t="str">
        <f t="shared" si="11"/>
        <v>Feb</v>
      </c>
      <c r="O249">
        <f t="shared" si="10"/>
        <v>2019</v>
      </c>
    </row>
    <row r="250" spans="1:15" x14ac:dyDescent="0.3">
      <c r="A250" t="s">
        <v>11</v>
      </c>
      <c r="B250" t="s">
        <v>12</v>
      </c>
      <c r="C250" t="s">
        <v>13</v>
      </c>
      <c r="D250" t="s">
        <v>26</v>
      </c>
      <c r="E250" t="s">
        <v>19</v>
      </c>
      <c r="F250">
        <v>77.72</v>
      </c>
      <c r="G250">
        <v>4</v>
      </c>
      <c r="H250">
        <v>15.544</v>
      </c>
      <c r="I250">
        <v>326.42399999999998</v>
      </c>
      <c r="J250" s="3">
        <v>43472</v>
      </c>
      <c r="K250">
        <v>8.8000000000000007</v>
      </c>
      <c r="L250" t="str" cm="1">
        <f t="array" ref="L250">_xlfn.IFS(Sales[[#This Row],[Rating]]&gt;8,"Super",Sales[[#This Row],[Rating]]&gt;=5,"Good",Sales[[#This Row],[Rating]]&lt;5,"Average")</f>
        <v>Super</v>
      </c>
      <c r="M250">
        <f t="shared" si="9"/>
        <v>1</v>
      </c>
      <c r="N250" t="str">
        <f t="shared" si="11"/>
        <v>Jan</v>
      </c>
      <c r="O250">
        <f t="shared" si="10"/>
        <v>2019</v>
      </c>
    </row>
    <row r="251" spans="1:15" x14ac:dyDescent="0.3">
      <c r="A251" t="s">
        <v>22</v>
      </c>
      <c r="B251" t="s">
        <v>23</v>
      </c>
      <c r="C251" t="s">
        <v>18</v>
      </c>
      <c r="D251" t="s">
        <v>26</v>
      </c>
      <c r="E251" t="s">
        <v>24</v>
      </c>
      <c r="F251">
        <v>73.06</v>
      </c>
      <c r="G251">
        <v>7</v>
      </c>
      <c r="H251">
        <v>25.571000000000002</v>
      </c>
      <c r="I251">
        <v>536.99099999999999</v>
      </c>
      <c r="J251" s="3">
        <v>43479</v>
      </c>
      <c r="K251">
        <v>4.2</v>
      </c>
      <c r="L251" t="str" cm="1">
        <f t="array" ref="L251">_xlfn.IFS(Sales[[#This Row],[Rating]]&gt;8,"Super",Sales[[#This Row],[Rating]]&gt;=5,"Good",Sales[[#This Row],[Rating]]&lt;5,"Average")</f>
        <v>Average</v>
      </c>
      <c r="M251">
        <f t="shared" si="9"/>
        <v>1</v>
      </c>
      <c r="N251" t="str">
        <f t="shared" si="11"/>
        <v>Jan</v>
      </c>
      <c r="O251">
        <f t="shared" si="10"/>
        <v>2019</v>
      </c>
    </row>
    <row r="252" spans="1:15" x14ac:dyDescent="0.3">
      <c r="A252" t="s">
        <v>22</v>
      </c>
      <c r="B252" t="s">
        <v>23</v>
      </c>
      <c r="C252" t="s">
        <v>13</v>
      </c>
      <c r="D252" t="s">
        <v>26</v>
      </c>
      <c r="E252" t="s">
        <v>24</v>
      </c>
      <c r="F252">
        <v>46.55</v>
      </c>
      <c r="G252">
        <v>9</v>
      </c>
      <c r="H252">
        <v>20.947500000000002</v>
      </c>
      <c r="I252">
        <v>439.89749999999998</v>
      </c>
      <c r="J252" s="3">
        <v>43498</v>
      </c>
      <c r="K252">
        <v>6.4</v>
      </c>
      <c r="L252" t="str" cm="1">
        <f t="array" ref="L252">_xlfn.IFS(Sales[[#This Row],[Rating]]&gt;8,"Super",Sales[[#This Row],[Rating]]&gt;=5,"Good",Sales[[#This Row],[Rating]]&lt;5,"Average")</f>
        <v>Good</v>
      </c>
      <c r="M252">
        <f t="shared" si="9"/>
        <v>2</v>
      </c>
      <c r="N252" t="str">
        <f t="shared" si="11"/>
        <v>Jan</v>
      </c>
      <c r="O252">
        <f t="shared" si="10"/>
        <v>2019</v>
      </c>
    </row>
    <row r="253" spans="1:15" x14ac:dyDescent="0.3">
      <c r="A253" t="s">
        <v>16</v>
      </c>
      <c r="B253" t="s">
        <v>17</v>
      </c>
      <c r="C253" t="s">
        <v>13</v>
      </c>
      <c r="D253" t="s">
        <v>26</v>
      </c>
      <c r="E253" t="s">
        <v>25</v>
      </c>
      <c r="F253">
        <v>35.19</v>
      </c>
      <c r="G253">
        <v>10</v>
      </c>
      <c r="H253">
        <v>17.594999999999999</v>
      </c>
      <c r="I253">
        <v>369.495</v>
      </c>
      <c r="J253" s="3">
        <v>43541</v>
      </c>
      <c r="K253">
        <v>8.4</v>
      </c>
      <c r="L253" t="str" cm="1">
        <f t="array" ref="L253">_xlfn.IFS(Sales[[#This Row],[Rating]]&gt;8,"Super",Sales[[#This Row],[Rating]]&gt;=5,"Good",Sales[[#This Row],[Rating]]&lt;5,"Average")</f>
        <v>Super</v>
      </c>
      <c r="M253">
        <f t="shared" si="9"/>
        <v>3</v>
      </c>
      <c r="N253" t="str">
        <f t="shared" si="11"/>
        <v>Feb</v>
      </c>
      <c r="O253">
        <f t="shared" si="10"/>
        <v>2019</v>
      </c>
    </row>
    <row r="254" spans="1:15" x14ac:dyDescent="0.3">
      <c r="A254" t="s">
        <v>16</v>
      </c>
      <c r="B254" t="s">
        <v>17</v>
      </c>
      <c r="C254" t="s">
        <v>18</v>
      </c>
      <c r="D254" t="s">
        <v>14</v>
      </c>
      <c r="E254" t="s">
        <v>21</v>
      </c>
      <c r="F254">
        <v>14.39</v>
      </c>
      <c r="G254">
        <v>2</v>
      </c>
      <c r="H254">
        <v>1.4390000000000001</v>
      </c>
      <c r="I254">
        <v>30.219000000000001</v>
      </c>
      <c r="J254" s="3">
        <v>43526</v>
      </c>
      <c r="K254">
        <v>7.2</v>
      </c>
      <c r="L254" t="str" cm="1">
        <f t="array" ref="L254">_xlfn.IFS(Sales[[#This Row],[Rating]]&gt;8,"Super",Sales[[#This Row],[Rating]]&gt;=5,"Good",Sales[[#This Row],[Rating]]&lt;5,"Average")</f>
        <v>Good</v>
      </c>
      <c r="M254">
        <f t="shared" si="9"/>
        <v>3</v>
      </c>
      <c r="N254" t="str">
        <f t="shared" si="11"/>
        <v>Mar</v>
      </c>
      <c r="O254">
        <f t="shared" si="10"/>
        <v>2019</v>
      </c>
    </row>
    <row r="255" spans="1:15" x14ac:dyDescent="0.3">
      <c r="A255" t="s">
        <v>11</v>
      </c>
      <c r="B255" t="s">
        <v>12</v>
      </c>
      <c r="C255" t="s">
        <v>18</v>
      </c>
      <c r="D255" t="s">
        <v>26</v>
      </c>
      <c r="E255" t="s">
        <v>20</v>
      </c>
      <c r="F255">
        <v>23.75</v>
      </c>
      <c r="G255">
        <v>4</v>
      </c>
      <c r="H255">
        <v>4.75</v>
      </c>
      <c r="I255">
        <v>99.75</v>
      </c>
      <c r="J255" s="3">
        <v>43540</v>
      </c>
      <c r="K255">
        <v>5.2</v>
      </c>
      <c r="L255" t="str" cm="1">
        <f t="array" ref="L255">_xlfn.IFS(Sales[[#This Row],[Rating]]&gt;8,"Super",Sales[[#This Row],[Rating]]&gt;=5,"Good",Sales[[#This Row],[Rating]]&lt;5,"Average")</f>
        <v>Good</v>
      </c>
      <c r="M255">
        <f t="shared" si="9"/>
        <v>3</v>
      </c>
      <c r="N255" t="str">
        <f t="shared" si="11"/>
        <v>Mar</v>
      </c>
      <c r="O255">
        <f t="shared" si="10"/>
        <v>2019</v>
      </c>
    </row>
    <row r="256" spans="1:15" x14ac:dyDescent="0.3">
      <c r="A256" t="s">
        <v>11</v>
      </c>
      <c r="B256" t="s">
        <v>12</v>
      </c>
      <c r="C256" t="s">
        <v>13</v>
      </c>
      <c r="D256" t="s">
        <v>26</v>
      </c>
      <c r="E256" t="s">
        <v>20</v>
      </c>
      <c r="F256">
        <v>58.9</v>
      </c>
      <c r="G256">
        <v>8</v>
      </c>
      <c r="H256">
        <v>23.56</v>
      </c>
      <c r="I256">
        <v>494.76</v>
      </c>
      <c r="J256" s="3">
        <v>43471</v>
      </c>
      <c r="K256">
        <v>8.9</v>
      </c>
      <c r="L256" t="str" cm="1">
        <f t="array" ref="L256">_xlfn.IFS(Sales[[#This Row],[Rating]]&gt;8,"Super",Sales[[#This Row],[Rating]]&gt;=5,"Good",Sales[[#This Row],[Rating]]&lt;5,"Average")</f>
        <v>Super</v>
      </c>
      <c r="M256">
        <f t="shared" si="9"/>
        <v>1</v>
      </c>
      <c r="N256" t="str">
        <f t="shared" si="11"/>
        <v>Mar</v>
      </c>
      <c r="O256">
        <f t="shared" si="10"/>
        <v>2019</v>
      </c>
    </row>
    <row r="257" spans="1:15" x14ac:dyDescent="0.3">
      <c r="A257" t="s">
        <v>22</v>
      </c>
      <c r="B257" t="s">
        <v>23</v>
      </c>
      <c r="C257" t="s">
        <v>13</v>
      </c>
      <c r="D257" t="s">
        <v>26</v>
      </c>
      <c r="E257" t="s">
        <v>25</v>
      </c>
      <c r="F257">
        <v>32.619999999999997</v>
      </c>
      <c r="G257">
        <v>4</v>
      </c>
      <c r="H257">
        <v>6.524</v>
      </c>
      <c r="I257">
        <v>137.00399999999999</v>
      </c>
      <c r="J257" s="3">
        <v>43494</v>
      </c>
      <c r="K257">
        <v>9</v>
      </c>
      <c r="L257" t="str" cm="1">
        <f t="array" ref="L257">_xlfn.IFS(Sales[[#This Row],[Rating]]&gt;8,"Super",Sales[[#This Row],[Rating]]&gt;=5,"Good",Sales[[#This Row],[Rating]]&lt;5,"Average")</f>
        <v>Super</v>
      </c>
      <c r="M257">
        <f t="shared" si="9"/>
        <v>1</v>
      </c>
      <c r="N257" t="str">
        <f t="shared" si="11"/>
        <v>Jan</v>
      </c>
      <c r="O257">
        <f t="shared" si="10"/>
        <v>2019</v>
      </c>
    </row>
    <row r="258" spans="1:15" x14ac:dyDescent="0.3">
      <c r="A258" t="s">
        <v>11</v>
      </c>
      <c r="B258" t="s">
        <v>12</v>
      </c>
      <c r="C258" t="s">
        <v>13</v>
      </c>
      <c r="D258" t="s">
        <v>26</v>
      </c>
      <c r="E258" t="s">
        <v>19</v>
      </c>
      <c r="F258">
        <v>66.349999999999994</v>
      </c>
      <c r="G258">
        <v>1</v>
      </c>
      <c r="H258">
        <v>3.3174999999999999</v>
      </c>
      <c r="I258">
        <v>69.667500000000004</v>
      </c>
      <c r="J258" s="3">
        <v>43496</v>
      </c>
      <c r="K258">
        <v>9.6999999999999993</v>
      </c>
      <c r="L258" t="str" cm="1">
        <f t="array" ref="L258">_xlfn.IFS(Sales[[#This Row],[Rating]]&gt;8,"Super",Sales[[#This Row],[Rating]]&gt;=5,"Good",Sales[[#This Row],[Rating]]&lt;5,"Average")</f>
        <v>Super</v>
      </c>
      <c r="M258">
        <f t="shared" si="9"/>
        <v>1</v>
      </c>
      <c r="N258" t="str">
        <f t="shared" si="11"/>
        <v>Jan</v>
      </c>
      <c r="O258">
        <f t="shared" si="10"/>
        <v>2019</v>
      </c>
    </row>
    <row r="259" spans="1:15" x14ac:dyDescent="0.3">
      <c r="A259" t="s">
        <v>11</v>
      </c>
      <c r="B259" t="s">
        <v>12</v>
      </c>
      <c r="C259" t="s">
        <v>13</v>
      </c>
      <c r="D259" t="s">
        <v>26</v>
      </c>
      <c r="E259" t="s">
        <v>20</v>
      </c>
      <c r="F259">
        <v>25.91</v>
      </c>
      <c r="G259">
        <v>6</v>
      </c>
      <c r="H259">
        <v>7.7729999999999997</v>
      </c>
      <c r="I259">
        <v>163.233</v>
      </c>
      <c r="J259" s="3">
        <v>43501</v>
      </c>
      <c r="K259">
        <v>8.6999999999999993</v>
      </c>
      <c r="L259" t="str" cm="1">
        <f t="array" ref="L259">_xlfn.IFS(Sales[[#This Row],[Rating]]&gt;8,"Super",Sales[[#This Row],[Rating]]&gt;=5,"Good",Sales[[#This Row],[Rating]]&lt;5,"Average")</f>
        <v>Super</v>
      </c>
      <c r="M259">
        <f t="shared" ref="M259:M322" si="12">MONTH(J259)</f>
        <v>2</v>
      </c>
      <c r="N259" t="str">
        <f t="shared" si="11"/>
        <v>Jan</v>
      </c>
      <c r="O259">
        <f t="shared" ref="O259:O322" si="13">YEAR(J259)</f>
        <v>2019</v>
      </c>
    </row>
    <row r="260" spans="1:15" x14ac:dyDescent="0.3">
      <c r="A260" t="s">
        <v>11</v>
      </c>
      <c r="B260" t="s">
        <v>12</v>
      </c>
      <c r="C260" t="s">
        <v>13</v>
      </c>
      <c r="D260" t="s">
        <v>26</v>
      </c>
      <c r="E260" t="s">
        <v>19</v>
      </c>
      <c r="F260">
        <v>32.25</v>
      </c>
      <c r="G260">
        <v>4</v>
      </c>
      <c r="H260">
        <v>6.45</v>
      </c>
      <c r="I260">
        <v>135.44999999999999</v>
      </c>
      <c r="J260" s="3">
        <v>43509</v>
      </c>
      <c r="K260">
        <v>6.5</v>
      </c>
      <c r="L260" t="str" cm="1">
        <f t="array" ref="L260">_xlfn.IFS(Sales[[#This Row],[Rating]]&gt;8,"Super",Sales[[#This Row],[Rating]]&gt;=5,"Good",Sales[[#This Row],[Rating]]&lt;5,"Average")</f>
        <v>Good</v>
      </c>
      <c r="M260">
        <f t="shared" si="12"/>
        <v>2</v>
      </c>
      <c r="N260" t="str">
        <f t="shared" ref="N260:N323" si="14">TEXT(J259,"MMM")</f>
        <v>Feb</v>
      </c>
      <c r="O260">
        <f t="shared" si="13"/>
        <v>2019</v>
      </c>
    </row>
    <row r="261" spans="1:15" x14ac:dyDescent="0.3">
      <c r="A261" t="s">
        <v>16</v>
      </c>
      <c r="B261" t="s">
        <v>17</v>
      </c>
      <c r="C261" t="s">
        <v>13</v>
      </c>
      <c r="D261" t="s">
        <v>26</v>
      </c>
      <c r="E261" t="s">
        <v>19</v>
      </c>
      <c r="F261">
        <v>65.94</v>
      </c>
      <c r="G261">
        <v>4</v>
      </c>
      <c r="H261">
        <v>13.188000000000001</v>
      </c>
      <c r="I261">
        <v>276.94799999999998</v>
      </c>
      <c r="J261" s="3">
        <v>43503</v>
      </c>
      <c r="K261">
        <v>6.9</v>
      </c>
      <c r="L261" t="str" cm="1">
        <f t="array" ref="L261">_xlfn.IFS(Sales[[#This Row],[Rating]]&gt;8,"Super",Sales[[#This Row],[Rating]]&gt;=5,"Good",Sales[[#This Row],[Rating]]&lt;5,"Average")</f>
        <v>Good</v>
      </c>
      <c r="M261">
        <f t="shared" si="12"/>
        <v>2</v>
      </c>
      <c r="N261" t="str">
        <f t="shared" si="14"/>
        <v>Feb</v>
      </c>
      <c r="O261">
        <f t="shared" si="13"/>
        <v>2019</v>
      </c>
    </row>
    <row r="262" spans="1:15" x14ac:dyDescent="0.3">
      <c r="A262" t="s">
        <v>11</v>
      </c>
      <c r="B262" t="s">
        <v>12</v>
      </c>
      <c r="C262" t="s">
        <v>18</v>
      </c>
      <c r="D262" t="s">
        <v>14</v>
      </c>
      <c r="E262" t="s">
        <v>19</v>
      </c>
      <c r="F262">
        <v>75.06</v>
      </c>
      <c r="G262">
        <v>9</v>
      </c>
      <c r="H262">
        <v>33.777000000000001</v>
      </c>
      <c r="I262">
        <v>709.31700000000001</v>
      </c>
      <c r="J262" s="3">
        <v>43543</v>
      </c>
      <c r="K262">
        <v>6.2</v>
      </c>
      <c r="L262" t="str" cm="1">
        <f t="array" ref="L262">_xlfn.IFS(Sales[[#This Row],[Rating]]&gt;8,"Super",Sales[[#This Row],[Rating]]&gt;=5,"Good",Sales[[#This Row],[Rating]]&lt;5,"Average")</f>
        <v>Good</v>
      </c>
      <c r="M262">
        <f t="shared" si="12"/>
        <v>3</v>
      </c>
      <c r="N262" t="str">
        <f t="shared" si="14"/>
        <v>Feb</v>
      </c>
      <c r="O262">
        <f t="shared" si="13"/>
        <v>2019</v>
      </c>
    </row>
    <row r="263" spans="1:15" x14ac:dyDescent="0.3">
      <c r="A263" t="s">
        <v>16</v>
      </c>
      <c r="B263" t="s">
        <v>17</v>
      </c>
      <c r="C263" t="s">
        <v>18</v>
      </c>
      <c r="D263" t="s">
        <v>14</v>
      </c>
      <c r="E263" t="s">
        <v>25</v>
      </c>
      <c r="F263">
        <v>16.45</v>
      </c>
      <c r="G263">
        <v>4</v>
      </c>
      <c r="H263">
        <v>3.29</v>
      </c>
      <c r="I263">
        <v>69.09</v>
      </c>
      <c r="J263" s="3">
        <v>43531</v>
      </c>
      <c r="K263">
        <v>5.6</v>
      </c>
      <c r="L263" t="str" cm="1">
        <f t="array" ref="L263">_xlfn.IFS(Sales[[#This Row],[Rating]]&gt;8,"Super",Sales[[#This Row],[Rating]]&gt;=5,"Good",Sales[[#This Row],[Rating]]&lt;5,"Average")</f>
        <v>Good</v>
      </c>
      <c r="M263">
        <f t="shared" si="12"/>
        <v>3</v>
      </c>
      <c r="N263" t="str">
        <f t="shared" si="14"/>
        <v>Mar</v>
      </c>
      <c r="O263">
        <f t="shared" si="13"/>
        <v>2019</v>
      </c>
    </row>
    <row r="264" spans="1:15" x14ac:dyDescent="0.3">
      <c r="A264" t="s">
        <v>22</v>
      </c>
      <c r="B264" t="s">
        <v>23</v>
      </c>
      <c r="C264" t="s">
        <v>13</v>
      </c>
      <c r="D264" t="s">
        <v>14</v>
      </c>
      <c r="E264" t="s">
        <v>25</v>
      </c>
      <c r="F264">
        <v>38.299999999999997</v>
      </c>
      <c r="G264">
        <v>4</v>
      </c>
      <c r="H264">
        <v>7.66</v>
      </c>
      <c r="I264">
        <v>160.86000000000001</v>
      </c>
      <c r="J264" s="3">
        <v>43537</v>
      </c>
      <c r="K264">
        <v>5.7</v>
      </c>
      <c r="L264" t="str" cm="1">
        <f t="array" ref="L264">_xlfn.IFS(Sales[[#This Row],[Rating]]&gt;8,"Super",Sales[[#This Row],[Rating]]&gt;=5,"Good",Sales[[#This Row],[Rating]]&lt;5,"Average")</f>
        <v>Good</v>
      </c>
      <c r="M264">
        <f t="shared" si="12"/>
        <v>3</v>
      </c>
      <c r="N264" t="str">
        <f t="shared" si="14"/>
        <v>Mar</v>
      </c>
      <c r="O264">
        <f t="shared" si="13"/>
        <v>2019</v>
      </c>
    </row>
    <row r="265" spans="1:15" x14ac:dyDescent="0.3">
      <c r="A265" t="s">
        <v>11</v>
      </c>
      <c r="B265" t="s">
        <v>12</v>
      </c>
      <c r="C265" t="s">
        <v>13</v>
      </c>
      <c r="D265" t="s">
        <v>14</v>
      </c>
      <c r="E265" t="s">
        <v>21</v>
      </c>
      <c r="F265">
        <v>22.24</v>
      </c>
      <c r="G265">
        <v>10</v>
      </c>
      <c r="H265">
        <v>11.12</v>
      </c>
      <c r="I265">
        <v>233.52</v>
      </c>
      <c r="J265" s="3">
        <v>43505</v>
      </c>
      <c r="K265">
        <v>4.2</v>
      </c>
      <c r="L265" t="str" cm="1">
        <f t="array" ref="L265">_xlfn.IFS(Sales[[#This Row],[Rating]]&gt;8,"Super",Sales[[#This Row],[Rating]]&gt;=5,"Good",Sales[[#This Row],[Rating]]&lt;5,"Average")</f>
        <v>Average</v>
      </c>
      <c r="M265">
        <f t="shared" si="12"/>
        <v>2</v>
      </c>
      <c r="N265" t="str">
        <f t="shared" si="14"/>
        <v>Mar</v>
      </c>
      <c r="O265">
        <f t="shared" si="13"/>
        <v>2019</v>
      </c>
    </row>
    <row r="266" spans="1:15" x14ac:dyDescent="0.3">
      <c r="A266" t="s">
        <v>22</v>
      </c>
      <c r="B266" t="s">
        <v>23</v>
      </c>
      <c r="C266" t="s">
        <v>18</v>
      </c>
      <c r="D266" t="s">
        <v>26</v>
      </c>
      <c r="E266" t="s">
        <v>21</v>
      </c>
      <c r="F266">
        <v>54.45</v>
      </c>
      <c r="G266">
        <v>1</v>
      </c>
      <c r="H266">
        <v>2.7225000000000001</v>
      </c>
      <c r="I266">
        <v>57.172499999999999</v>
      </c>
      <c r="J266" s="3">
        <v>43522</v>
      </c>
      <c r="K266">
        <v>7.9</v>
      </c>
      <c r="L266" t="str" cm="1">
        <f t="array" ref="L266">_xlfn.IFS(Sales[[#This Row],[Rating]]&gt;8,"Super",Sales[[#This Row],[Rating]]&gt;=5,"Good",Sales[[#This Row],[Rating]]&lt;5,"Average")</f>
        <v>Good</v>
      </c>
      <c r="M266">
        <f t="shared" si="12"/>
        <v>2</v>
      </c>
      <c r="N266" t="str">
        <f t="shared" si="14"/>
        <v>Feb</v>
      </c>
      <c r="O266">
        <f t="shared" si="13"/>
        <v>2019</v>
      </c>
    </row>
    <row r="267" spans="1:15" x14ac:dyDescent="0.3">
      <c r="A267" t="s">
        <v>11</v>
      </c>
      <c r="B267" t="s">
        <v>12</v>
      </c>
      <c r="C267" t="s">
        <v>13</v>
      </c>
      <c r="D267" t="s">
        <v>14</v>
      </c>
      <c r="E267" t="s">
        <v>21</v>
      </c>
      <c r="F267">
        <v>98.4</v>
      </c>
      <c r="G267">
        <v>7</v>
      </c>
      <c r="H267">
        <v>34.44</v>
      </c>
      <c r="I267">
        <v>723.24</v>
      </c>
      <c r="J267" s="3">
        <v>43536</v>
      </c>
      <c r="K267">
        <v>8.6999999999999993</v>
      </c>
      <c r="L267" t="str" cm="1">
        <f t="array" ref="L267">_xlfn.IFS(Sales[[#This Row],[Rating]]&gt;8,"Super",Sales[[#This Row],[Rating]]&gt;=5,"Good",Sales[[#This Row],[Rating]]&lt;5,"Average")</f>
        <v>Super</v>
      </c>
      <c r="M267">
        <f t="shared" si="12"/>
        <v>3</v>
      </c>
      <c r="N267" t="str">
        <f t="shared" si="14"/>
        <v>Feb</v>
      </c>
      <c r="O267">
        <f t="shared" si="13"/>
        <v>2019</v>
      </c>
    </row>
    <row r="268" spans="1:15" x14ac:dyDescent="0.3">
      <c r="A268" t="s">
        <v>16</v>
      </c>
      <c r="B268" t="s">
        <v>17</v>
      </c>
      <c r="C268" t="s">
        <v>18</v>
      </c>
      <c r="D268" t="s">
        <v>26</v>
      </c>
      <c r="E268" t="s">
        <v>20</v>
      </c>
      <c r="F268">
        <v>35.47</v>
      </c>
      <c r="G268">
        <v>4</v>
      </c>
      <c r="H268">
        <v>7.0940000000000003</v>
      </c>
      <c r="I268">
        <v>148.97399999999999</v>
      </c>
      <c r="J268" s="3">
        <v>43538</v>
      </c>
      <c r="K268">
        <v>6.9</v>
      </c>
      <c r="L268" t="str" cm="1">
        <f t="array" ref="L268">_xlfn.IFS(Sales[[#This Row],[Rating]]&gt;8,"Super",Sales[[#This Row],[Rating]]&gt;=5,"Good",Sales[[#This Row],[Rating]]&lt;5,"Average")</f>
        <v>Good</v>
      </c>
      <c r="M268">
        <f t="shared" si="12"/>
        <v>3</v>
      </c>
      <c r="N268" t="str">
        <f t="shared" si="14"/>
        <v>Mar</v>
      </c>
      <c r="O268">
        <f t="shared" si="13"/>
        <v>2019</v>
      </c>
    </row>
    <row r="269" spans="1:15" x14ac:dyDescent="0.3">
      <c r="A269" t="s">
        <v>22</v>
      </c>
      <c r="B269" t="s">
        <v>23</v>
      </c>
      <c r="C269" t="s">
        <v>13</v>
      </c>
      <c r="D269" t="s">
        <v>14</v>
      </c>
      <c r="E269" t="s">
        <v>24</v>
      </c>
      <c r="F269">
        <v>74.599999999999994</v>
      </c>
      <c r="G269">
        <v>10</v>
      </c>
      <c r="H269">
        <v>37.299999999999997</v>
      </c>
      <c r="I269">
        <v>783.3</v>
      </c>
      <c r="J269" s="3">
        <v>43473</v>
      </c>
      <c r="K269">
        <v>9.5</v>
      </c>
      <c r="L269" t="str" cm="1">
        <f t="array" ref="L269">_xlfn.IFS(Sales[[#This Row],[Rating]]&gt;8,"Super",Sales[[#This Row],[Rating]]&gt;=5,"Good",Sales[[#This Row],[Rating]]&lt;5,"Average")</f>
        <v>Super</v>
      </c>
      <c r="M269">
        <f t="shared" si="12"/>
        <v>1</v>
      </c>
      <c r="N269" t="str">
        <f t="shared" si="14"/>
        <v>Mar</v>
      </c>
      <c r="O269">
        <f t="shared" si="13"/>
        <v>2019</v>
      </c>
    </row>
    <row r="270" spans="1:15" x14ac:dyDescent="0.3">
      <c r="A270" t="s">
        <v>11</v>
      </c>
      <c r="B270" t="s">
        <v>12</v>
      </c>
      <c r="C270" t="s">
        <v>13</v>
      </c>
      <c r="D270" t="s">
        <v>26</v>
      </c>
      <c r="E270" t="s">
        <v>20</v>
      </c>
      <c r="F270">
        <v>70.739999999999995</v>
      </c>
      <c r="G270">
        <v>4</v>
      </c>
      <c r="H270">
        <v>14.148</v>
      </c>
      <c r="I270">
        <v>297.108</v>
      </c>
      <c r="J270" s="3">
        <v>43470</v>
      </c>
      <c r="K270">
        <v>4.4000000000000004</v>
      </c>
      <c r="L270" t="str" cm="1">
        <f t="array" ref="L270">_xlfn.IFS(Sales[[#This Row],[Rating]]&gt;8,"Super",Sales[[#This Row],[Rating]]&gt;=5,"Good",Sales[[#This Row],[Rating]]&lt;5,"Average")</f>
        <v>Average</v>
      </c>
      <c r="M270">
        <f t="shared" si="12"/>
        <v>1</v>
      </c>
      <c r="N270" t="str">
        <f t="shared" si="14"/>
        <v>Jan</v>
      </c>
      <c r="O270">
        <f t="shared" si="13"/>
        <v>2019</v>
      </c>
    </row>
    <row r="271" spans="1:15" x14ac:dyDescent="0.3">
      <c r="A271" t="s">
        <v>11</v>
      </c>
      <c r="B271" t="s">
        <v>12</v>
      </c>
      <c r="C271" t="s">
        <v>13</v>
      </c>
      <c r="D271" t="s">
        <v>14</v>
      </c>
      <c r="E271" t="s">
        <v>20</v>
      </c>
      <c r="F271">
        <v>35.54</v>
      </c>
      <c r="G271">
        <v>10</v>
      </c>
      <c r="H271">
        <v>17.77</v>
      </c>
      <c r="I271">
        <v>373.17</v>
      </c>
      <c r="J271" s="3">
        <v>43469</v>
      </c>
      <c r="K271">
        <v>7</v>
      </c>
      <c r="L271" t="str" cm="1">
        <f t="array" ref="L271">_xlfn.IFS(Sales[[#This Row],[Rating]]&gt;8,"Super",Sales[[#This Row],[Rating]]&gt;=5,"Good",Sales[[#This Row],[Rating]]&lt;5,"Average")</f>
        <v>Good</v>
      </c>
      <c r="M271">
        <f t="shared" si="12"/>
        <v>1</v>
      </c>
      <c r="N271" t="str">
        <f t="shared" si="14"/>
        <v>Jan</v>
      </c>
      <c r="O271">
        <f t="shared" si="13"/>
        <v>2019</v>
      </c>
    </row>
    <row r="272" spans="1:15" x14ac:dyDescent="0.3">
      <c r="A272" t="s">
        <v>22</v>
      </c>
      <c r="B272" t="s">
        <v>23</v>
      </c>
      <c r="C272" t="s">
        <v>18</v>
      </c>
      <c r="D272" t="s">
        <v>14</v>
      </c>
      <c r="E272" t="s">
        <v>21</v>
      </c>
      <c r="F272">
        <v>67.430000000000007</v>
      </c>
      <c r="G272">
        <v>5</v>
      </c>
      <c r="H272">
        <v>16.857500000000002</v>
      </c>
      <c r="I272">
        <v>354.00749999999999</v>
      </c>
      <c r="J272" s="3">
        <v>43530</v>
      </c>
      <c r="K272">
        <v>6.3</v>
      </c>
      <c r="L272" t="str" cm="1">
        <f t="array" ref="L272">_xlfn.IFS(Sales[[#This Row],[Rating]]&gt;8,"Super",Sales[[#This Row],[Rating]]&gt;=5,"Good",Sales[[#This Row],[Rating]]&lt;5,"Average")</f>
        <v>Good</v>
      </c>
      <c r="M272">
        <f t="shared" si="12"/>
        <v>3</v>
      </c>
      <c r="N272" t="str">
        <f t="shared" si="14"/>
        <v>Jan</v>
      </c>
      <c r="O272">
        <f t="shared" si="13"/>
        <v>2019</v>
      </c>
    </row>
    <row r="273" spans="1:15" x14ac:dyDescent="0.3">
      <c r="A273" t="s">
        <v>16</v>
      </c>
      <c r="B273" t="s">
        <v>17</v>
      </c>
      <c r="C273" t="s">
        <v>13</v>
      </c>
      <c r="D273" t="s">
        <v>14</v>
      </c>
      <c r="E273" t="s">
        <v>15</v>
      </c>
      <c r="F273">
        <v>21.12</v>
      </c>
      <c r="G273">
        <v>2</v>
      </c>
      <c r="H273">
        <v>2.1120000000000001</v>
      </c>
      <c r="I273">
        <v>44.351999999999997</v>
      </c>
      <c r="J273" s="3">
        <v>43468</v>
      </c>
      <c r="K273">
        <v>9.6999999999999993</v>
      </c>
      <c r="L273" t="str" cm="1">
        <f t="array" ref="L273">_xlfn.IFS(Sales[[#This Row],[Rating]]&gt;8,"Super",Sales[[#This Row],[Rating]]&gt;=5,"Good",Sales[[#This Row],[Rating]]&lt;5,"Average")</f>
        <v>Super</v>
      </c>
      <c r="M273">
        <f t="shared" si="12"/>
        <v>1</v>
      </c>
      <c r="N273" t="str">
        <f t="shared" si="14"/>
        <v>Mar</v>
      </c>
      <c r="O273">
        <f t="shared" si="13"/>
        <v>2019</v>
      </c>
    </row>
    <row r="274" spans="1:15" x14ac:dyDescent="0.3">
      <c r="A274" t="s">
        <v>11</v>
      </c>
      <c r="B274" t="s">
        <v>12</v>
      </c>
      <c r="C274" t="s">
        <v>13</v>
      </c>
      <c r="D274" t="s">
        <v>14</v>
      </c>
      <c r="E274" t="s">
        <v>20</v>
      </c>
      <c r="F274">
        <v>21.54</v>
      </c>
      <c r="G274">
        <v>9</v>
      </c>
      <c r="H274">
        <v>9.6929999999999996</v>
      </c>
      <c r="I274">
        <v>203.553</v>
      </c>
      <c r="J274" s="3">
        <v>43472</v>
      </c>
      <c r="K274">
        <v>8.8000000000000007</v>
      </c>
      <c r="L274" t="str" cm="1">
        <f t="array" ref="L274">_xlfn.IFS(Sales[[#This Row],[Rating]]&gt;8,"Super",Sales[[#This Row],[Rating]]&gt;=5,"Good",Sales[[#This Row],[Rating]]&lt;5,"Average")</f>
        <v>Super</v>
      </c>
      <c r="M274">
        <f t="shared" si="12"/>
        <v>1</v>
      </c>
      <c r="N274" t="str">
        <f t="shared" si="14"/>
        <v>Jan</v>
      </c>
      <c r="O274">
        <f t="shared" si="13"/>
        <v>2019</v>
      </c>
    </row>
    <row r="275" spans="1:15" x14ac:dyDescent="0.3">
      <c r="A275" t="s">
        <v>11</v>
      </c>
      <c r="B275" t="s">
        <v>12</v>
      </c>
      <c r="C275" t="s">
        <v>18</v>
      </c>
      <c r="D275" t="s">
        <v>14</v>
      </c>
      <c r="E275" t="s">
        <v>20</v>
      </c>
      <c r="F275">
        <v>12.03</v>
      </c>
      <c r="G275">
        <v>2</v>
      </c>
      <c r="H275">
        <v>1.2030000000000001</v>
      </c>
      <c r="I275">
        <v>25.263000000000002</v>
      </c>
      <c r="J275" s="3">
        <v>43492</v>
      </c>
      <c r="K275">
        <v>5.0999999999999996</v>
      </c>
      <c r="L275" t="str" cm="1">
        <f t="array" ref="L275">_xlfn.IFS(Sales[[#This Row],[Rating]]&gt;8,"Super",Sales[[#This Row],[Rating]]&gt;=5,"Good",Sales[[#This Row],[Rating]]&lt;5,"Average")</f>
        <v>Good</v>
      </c>
      <c r="M275">
        <f t="shared" si="12"/>
        <v>1</v>
      </c>
      <c r="N275" t="str">
        <f t="shared" si="14"/>
        <v>Jan</v>
      </c>
      <c r="O275">
        <f t="shared" si="13"/>
        <v>2019</v>
      </c>
    </row>
    <row r="276" spans="1:15" x14ac:dyDescent="0.3">
      <c r="A276" t="s">
        <v>22</v>
      </c>
      <c r="B276" t="s">
        <v>23</v>
      </c>
      <c r="C276" t="s">
        <v>18</v>
      </c>
      <c r="D276" t="s">
        <v>14</v>
      </c>
      <c r="E276" t="s">
        <v>15</v>
      </c>
      <c r="F276">
        <v>99.71</v>
      </c>
      <c r="G276">
        <v>6</v>
      </c>
      <c r="H276">
        <v>29.913</v>
      </c>
      <c r="I276">
        <v>628.173</v>
      </c>
      <c r="J276" s="3">
        <v>43522</v>
      </c>
      <c r="K276">
        <v>7.9</v>
      </c>
      <c r="L276" t="str" cm="1">
        <f t="array" ref="L276">_xlfn.IFS(Sales[[#This Row],[Rating]]&gt;8,"Super",Sales[[#This Row],[Rating]]&gt;=5,"Good",Sales[[#This Row],[Rating]]&lt;5,"Average")</f>
        <v>Good</v>
      </c>
      <c r="M276">
        <f t="shared" si="12"/>
        <v>2</v>
      </c>
      <c r="N276" t="str">
        <f t="shared" si="14"/>
        <v>Jan</v>
      </c>
      <c r="O276">
        <f t="shared" si="13"/>
        <v>2019</v>
      </c>
    </row>
    <row r="277" spans="1:15" x14ac:dyDescent="0.3">
      <c r="A277" t="s">
        <v>22</v>
      </c>
      <c r="B277" t="s">
        <v>23</v>
      </c>
      <c r="C277" t="s">
        <v>18</v>
      </c>
      <c r="D277" t="s">
        <v>26</v>
      </c>
      <c r="E277" t="s">
        <v>25</v>
      </c>
      <c r="F277">
        <v>47.97</v>
      </c>
      <c r="G277">
        <v>7</v>
      </c>
      <c r="H277">
        <v>16.7895</v>
      </c>
      <c r="I277">
        <v>352.5795</v>
      </c>
      <c r="J277" s="3">
        <v>43472</v>
      </c>
      <c r="K277">
        <v>6.2</v>
      </c>
      <c r="L277" t="str" cm="1">
        <f t="array" ref="L277">_xlfn.IFS(Sales[[#This Row],[Rating]]&gt;8,"Super",Sales[[#This Row],[Rating]]&gt;=5,"Good",Sales[[#This Row],[Rating]]&lt;5,"Average")</f>
        <v>Good</v>
      </c>
      <c r="M277">
        <f t="shared" si="12"/>
        <v>1</v>
      </c>
      <c r="N277" t="str">
        <f t="shared" si="14"/>
        <v>Feb</v>
      </c>
      <c r="O277">
        <f t="shared" si="13"/>
        <v>2019</v>
      </c>
    </row>
    <row r="278" spans="1:15" x14ac:dyDescent="0.3">
      <c r="A278" t="s">
        <v>16</v>
      </c>
      <c r="B278" t="s">
        <v>17</v>
      </c>
      <c r="C278" t="s">
        <v>13</v>
      </c>
      <c r="D278" t="s">
        <v>14</v>
      </c>
      <c r="E278" t="s">
        <v>20</v>
      </c>
      <c r="F278">
        <v>21.82</v>
      </c>
      <c r="G278">
        <v>10</v>
      </c>
      <c r="H278">
        <v>10.91</v>
      </c>
      <c r="I278">
        <v>229.11</v>
      </c>
      <c r="J278" s="3">
        <v>43472</v>
      </c>
      <c r="K278">
        <v>7.1</v>
      </c>
      <c r="L278" t="str" cm="1">
        <f t="array" ref="L278">_xlfn.IFS(Sales[[#This Row],[Rating]]&gt;8,"Super",Sales[[#This Row],[Rating]]&gt;=5,"Good",Sales[[#This Row],[Rating]]&lt;5,"Average")</f>
        <v>Good</v>
      </c>
      <c r="M278">
        <f t="shared" si="12"/>
        <v>1</v>
      </c>
      <c r="N278" t="str">
        <f t="shared" si="14"/>
        <v>Jan</v>
      </c>
      <c r="O278">
        <f t="shared" si="13"/>
        <v>2019</v>
      </c>
    </row>
    <row r="279" spans="1:15" x14ac:dyDescent="0.3">
      <c r="A279" t="s">
        <v>16</v>
      </c>
      <c r="B279" t="s">
        <v>17</v>
      </c>
      <c r="C279" t="s">
        <v>18</v>
      </c>
      <c r="D279" t="s">
        <v>14</v>
      </c>
      <c r="E279" t="s">
        <v>25</v>
      </c>
      <c r="F279">
        <v>95.42</v>
      </c>
      <c r="G279">
        <v>4</v>
      </c>
      <c r="H279">
        <v>19.084</v>
      </c>
      <c r="I279">
        <v>400.76400000000001</v>
      </c>
      <c r="J279" s="3">
        <v>43498</v>
      </c>
      <c r="K279">
        <v>6.4</v>
      </c>
      <c r="L279" t="str" cm="1">
        <f t="array" ref="L279">_xlfn.IFS(Sales[[#This Row],[Rating]]&gt;8,"Super",Sales[[#This Row],[Rating]]&gt;=5,"Good",Sales[[#This Row],[Rating]]&lt;5,"Average")</f>
        <v>Good</v>
      </c>
      <c r="M279">
        <f t="shared" si="12"/>
        <v>2</v>
      </c>
      <c r="N279" t="str">
        <f t="shared" si="14"/>
        <v>Jan</v>
      </c>
      <c r="O279">
        <f t="shared" si="13"/>
        <v>2019</v>
      </c>
    </row>
    <row r="280" spans="1:15" x14ac:dyDescent="0.3">
      <c r="A280" t="s">
        <v>16</v>
      </c>
      <c r="B280" t="s">
        <v>17</v>
      </c>
      <c r="C280" t="s">
        <v>13</v>
      </c>
      <c r="D280" t="s">
        <v>26</v>
      </c>
      <c r="E280" t="s">
        <v>25</v>
      </c>
      <c r="F280">
        <v>70.989999999999995</v>
      </c>
      <c r="G280">
        <v>10</v>
      </c>
      <c r="H280">
        <v>35.494999999999997</v>
      </c>
      <c r="I280">
        <v>745.39499999999998</v>
      </c>
      <c r="J280" s="3">
        <v>43544</v>
      </c>
      <c r="K280">
        <v>5.7</v>
      </c>
      <c r="L280" t="str" cm="1">
        <f t="array" ref="L280">_xlfn.IFS(Sales[[#This Row],[Rating]]&gt;8,"Super",Sales[[#This Row],[Rating]]&gt;=5,"Good",Sales[[#This Row],[Rating]]&lt;5,"Average")</f>
        <v>Good</v>
      </c>
      <c r="M280">
        <f t="shared" si="12"/>
        <v>3</v>
      </c>
      <c r="N280" t="str">
        <f t="shared" si="14"/>
        <v>Feb</v>
      </c>
      <c r="O280">
        <f t="shared" si="13"/>
        <v>2019</v>
      </c>
    </row>
    <row r="281" spans="1:15" x14ac:dyDescent="0.3">
      <c r="A281" t="s">
        <v>11</v>
      </c>
      <c r="B281" t="s">
        <v>12</v>
      </c>
      <c r="C281" t="s">
        <v>13</v>
      </c>
      <c r="D281" t="s">
        <v>26</v>
      </c>
      <c r="E281" t="s">
        <v>21</v>
      </c>
      <c r="F281">
        <v>44.02</v>
      </c>
      <c r="G281">
        <v>10</v>
      </c>
      <c r="H281">
        <v>22.01</v>
      </c>
      <c r="I281">
        <v>462.21</v>
      </c>
      <c r="J281" s="3">
        <v>43544</v>
      </c>
      <c r="K281">
        <v>9.6</v>
      </c>
      <c r="L281" t="str" cm="1">
        <f t="array" ref="L281">_xlfn.IFS(Sales[[#This Row],[Rating]]&gt;8,"Super",Sales[[#This Row],[Rating]]&gt;=5,"Good",Sales[[#This Row],[Rating]]&lt;5,"Average")</f>
        <v>Super</v>
      </c>
      <c r="M281">
        <f t="shared" si="12"/>
        <v>3</v>
      </c>
      <c r="N281" t="str">
        <f t="shared" si="14"/>
        <v>Mar</v>
      </c>
      <c r="O281">
        <f t="shared" si="13"/>
        <v>2019</v>
      </c>
    </row>
    <row r="282" spans="1:15" x14ac:dyDescent="0.3">
      <c r="A282" t="s">
        <v>11</v>
      </c>
      <c r="B282" t="s">
        <v>12</v>
      </c>
      <c r="C282" t="s">
        <v>18</v>
      </c>
      <c r="D282" t="s">
        <v>14</v>
      </c>
      <c r="E282" t="s">
        <v>20</v>
      </c>
      <c r="F282">
        <v>69.959999999999994</v>
      </c>
      <c r="G282">
        <v>8</v>
      </c>
      <c r="H282">
        <v>27.984000000000002</v>
      </c>
      <c r="I282">
        <v>587.66399999999999</v>
      </c>
      <c r="J282" s="3">
        <v>43511</v>
      </c>
      <c r="K282">
        <v>6.4</v>
      </c>
      <c r="L282" t="str" cm="1">
        <f t="array" ref="L282">_xlfn.IFS(Sales[[#This Row],[Rating]]&gt;8,"Super",Sales[[#This Row],[Rating]]&gt;=5,"Good",Sales[[#This Row],[Rating]]&lt;5,"Average")</f>
        <v>Good</v>
      </c>
      <c r="M282">
        <f t="shared" si="12"/>
        <v>2</v>
      </c>
      <c r="N282" t="str">
        <f t="shared" si="14"/>
        <v>Mar</v>
      </c>
      <c r="O282">
        <f t="shared" si="13"/>
        <v>2019</v>
      </c>
    </row>
    <row r="283" spans="1:15" x14ac:dyDescent="0.3">
      <c r="A283" t="s">
        <v>16</v>
      </c>
      <c r="B283" t="s">
        <v>17</v>
      </c>
      <c r="C283" t="s">
        <v>18</v>
      </c>
      <c r="D283" t="s">
        <v>26</v>
      </c>
      <c r="E283" t="s">
        <v>20</v>
      </c>
      <c r="F283">
        <v>37</v>
      </c>
      <c r="G283">
        <v>1</v>
      </c>
      <c r="H283">
        <v>1.85</v>
      </c>
      <c r="I283">
        <v>38.85</v>
      </c>
      <c r="J283" s="3">
        <v>43530</v>
      </c>
      <c r="K283">
        <v>7.9</v>
      </c>
      <c r="L283" t="str" cm="1">
        <f t="array" ref="L283">_xlfn.IFS(Sales[[#This Row],[Rating]]&gt;8,"Super",Sales[[#This Row],[Rating]]&gt;=5,"Good",Sales[[#This Row],[Rating]]&lt;5,"Average")</f>
        <v>Good</v>
      </c>
      <c r="M283">
        <f t="shared" si="12"/>
        <v>3</v>
      </c>
      <c r="N283" t="str">
        <f t="shared" si="14"/>
        <v>Feb</v>
      </c>
      <c r="O283">
        <f t="shared" si="13"/>
        <v>2019</v>
      </c>
    </row>
    <row r="284" spans="1:15" x14ac:dyDescent="0.3">
      <c r="A284" t="s">
        <v>11</v>
      </c>
      <c r="B284" t="s">
        <v>12</v>
      </c>
      <c r="C284" t="s">
        <v>18</v>
      </c>
      <c r="D284" t="s">
        <v>14</v>
      </c>
      <c r="E284" t="s">
        <v>21</v>
      </c>
      <c r="F284">
        <v>15.34</v>
      </c>
      <c r="G284">
        <v>1</v>
      </c>
      <c r="H284">
        <v>0.76700000000000002</v>
      </c>
      <c r="I284">
        <v>16.106999999999999</v>
      </c>
      <c r="J284" s="3">
        <v>43471</v>
      </c>
      <c r="K284">
        <v>6.5</v>
      </c>
      <c r="L284" t="str" cm="1">
        <f t="array" ref="L284">_xlfn.IFS(Sales[[#This Row],[Rating]]&gt;8,"Super",Sales[[#This Row],[Rating]]&gt;=5,"Good",Sales[[#This Row],[Rating]]&lt;5,"Average")</f>
        <v>Good</v>
      </c>
      <c r="M284">
        <f t="shared" si="12"/>
        <v>1</v>
      </c>
      <c r="N284" t="str">
        <f t="shared" si="14"/>
        <v>Mar</v>
      </c>
      <c r="O284">
        <f t="shared" si="13"/>
        <v>2019</v>
      </c>
    </row>
    <row r="285" spans="1:15" x14ac:dyDescent="0.3">
      <c r="A285" t="s">
        <v>11</v>
      </c>
      <c r="B285" t="s">
        <v>12</v>
      </c>
      <c r="C285" t="s">
        <v>13</v>
      </c>
      <c r="D285" t="s">
        <v>26</v>
      </c>
      <c r="E285" t="s">
        <v>15</v>
      </c>
      <c r="F285">
        <v>99.83</v>
      </c>
      <c r="G285">
        <v>6</v>
      </c>
      <c r="H285">
        <v>29.949000000000002</v>
      </c>
      <c r="I285">
        <v>628.92899999999997</v>
      </c>
      <c r="J285" s="3">
        <v>43528</v>
      </c>
      <c r="K285">
        <v>8.5</v>
      </c>
      <c r="L285" t="str" cm="1">
        <f t="array" ref="L285">_xlfn.IFS(Sales[[#This Row],[Rating]]&gt;8,"Super",Sales[[#This Row],[Rating]]&gt;=5,"Good",Sales[[#This Row],[Rating]]&lt;5,"Average")</f>
        <v>Super</v>
      </c>
      <c r="M285">
        <f t="shared" si="12"/>
        <v>3</v>
      </c>
      <c r="N285" t="str">
        <f t="shared" si="14"/>
        <v>Jan</v>
      </c>
      <c r="O285">
        <f t="shared" si="13"/>
        <v>2019</v>
      </c>
    </row>
    <row r="286" spans="1:15" x14ac:dyDescent="0.3">
      <c r="A286" t="s">
        <v>11</v>
      </c>
      <c r="B286" t="s">
        <v>12</v>
      </c>
      <c r="C286" t="s">
        <v>13</v>
      </c>
      <c r="D286" t="s">
        <v>14</v>
      </c>
      <c r="E286" t="s">
        <v>15</v>
      </c>
      <c r="F286">
        <v>47.67</v>
      </c>
      <c r="G286">
        <v>4</v>
      </c>
      <c r="H286">
        <v>9.5340000000000007</v>
      </c>
      <c r="I286">
        <v>200.214</v>
      </c>
      <c r="J286" s="3">
        <v>43536</v>
      </c>
      <c r="K286">
        <v>9.1</v>
      </c>
      <c r="L286" t="str" cm="1">
        <f t="array" ref="L286">_xlfn.IFS(Sales[[#This Row],[Rating]]&gt;8,"Super",Sales[[#This Row],[Rating]]&gt;=5,"Good",Sales[[#This Row],[Rating]]&lt;5,"Average")</f>
        <v>Super</v>
      </c>
      <c r="M286">
        <f t="shared" si="12"/>
        <v>3</v>
      </c>
      <c r="N286" t="str">
        <f t="shared" si="14"/>
        <v>Mar</v>
      </c>
      <c r="O286">
        <f t="shared" si="13"/>
        <v>2019</v>
      </c>
    </row>
    <row r="287" spans="1:15" x14ac:dyDescent="0.3">
      <c r="A287" t="s">
        <v>22</v>
      </c>
      <c r="B287" t="s">
        <v>23</v>
      </c>
      <c r="C287" t="s">
        <v>18</v>
      </c>
      <c r="D287" t="s">
        <v>26</v>
      </c>
      <c r="E287" t="s">
        <v>15</v>
      </c>
      <c r="F287">
        <v>66.680000000000007</v>
      </c>
      <c r="G287">
        <v>5</v>
      </c>
      <c r="H287">
        <v>16.670000000000002</v>
      </c>
      <c r="I287">
        <v>350.07</v>
      </c>
      <c r="J287" s="3">
        <v>43516</v>
      </c>
      <c r="K287">
        <v>7.6</v>
      </c>
      <c r="L287" t="str" cm="1">
        <f t="array" ref="L287">_xlfn.IFS(Sales[[#This Row],[Rating]]&gt;8,"Super",Sales[[#This Row],[Rating]]&gt;=5,"Good",Sales[[#This Row],[Rating]]&lt;5,"Average")</f>
        <v>Good</v>
      </c>
      <c r="M287">
        <f t="shared" si="12"/>
        <v>2</v>
      </c>
      <c r="N287" t="str">
        <f t="shared" si="14"/>
        <v>Mar</v>
      </c>
      <c r="O287">
        <f t="shared" si="13"/>
        <v>2019</v>
      </c>
    </row>
    <row r="288" spans="1:15" x14ac:dyDescent="0.3">
      <c r="A288" t="s">
        <v>16</v>
      </c>
      <c r="B288" t="s">
        <v>17</v>
      </c>
      <c r="C288" t="s">
        <v>13</v>
      </c>
      <c r="D288" t="s">
        <v>26</v>
      </c>
      <c r="E288" t="s">
        <v>20</v>
      </c>
      <c r="F288">
        <v>74.86</v>
      </c>
      <c r="G288">
        <v>1</v>
      </c>
      <c r="H288">
        <v>3.7429999999999999</v>
      </c>
      <c r="I288">
        <v>78.602999999999994</v>
      </c>
      <c r="J288" s="3">
        <v>43548</v>
      </c>
      <c r="K288">
        <v>6.9</v>
      </c>
      <c r="L288" t="str" cm="1">
        <f t="array" ref="L288">_xlfn.IFS(Sales[[#This Row],[Rating]]&gt;8,"Super",Sales[[#This Row],[Rating]]&gt;=5,"Good",Sales[[#This Row],[Rating]]&lt;5,"Average")</f>
        <v>Good</v>
      </c>
      <c r="M288">
        <f t="shared" si="12"/>
        <v>3</v>
      </c>
      <c r="N288" t="str">
        <f t="shared" si="14"/>
        <v>Feb</v>
      </c>
      <c r="O288">
        <f t="shared" si="13"/>
        <v>2019</v>
      </c>
    </row>
    <row r="289" spans="1:15" x14ac:dyDescent="0.3">
      <c r="A289" t="s">
        <v>16</v>
      </c>
      <c r="B289" t="s">
        <v>17</v>
      </c>
      <c r="C289" t="s">
        <v>18</v>
      </c>
      <c r="D289" t="s">
        <v>14</v>
      </c>
      <c r="E289" t="s">
        <v>21</v>
      </c>
      <c r="F289">
        <v>23.75</v>
      </c>
      <c r="G289">
        <v>9</v>
      </c>
      <c r="H289">
        <v>10.6875</v>
      </c>
      <c r="I289">
        <v>224.4375</v>
      </c>
      <c r="J289" s="3">
        <v>43496</v>
      </c>
      <c r="K289">
        <v>9.5</v>
      </c>
      <c r="L289" t="str" cm="1">
        <f t="array" ref="L289">_xlfn.IFS(Sales[[#This Row],[Rating]]&gt;8,"Super",Sales[[#This Row],[Rating]]&gt;=5,"Good",Sales[[#This Row],[Rating]]&lt;5,"Average")</f>
        <v>Super</v>
      </c>
      <c r="M289">
        <f t="shared" si="12"/>
        <v>1</v>
      </c>
      <c r="N289" t="str">
        <f t="shared" si="14"/>
        <v>Mar</v>
      </c>
      <c r="O289">
        <f t="shared" si="13"/>
        <v>2019</v>
      </c>
    </row>
    <row r="290" spans="1:15" x14ac:dyDescent="0.3">
      <c r="A290" t="s">
        <v>22</v>
      </c>
      <c r="B290" t="s">
        <v>23</v>
      </c>
      <c r="C290" t="s">
        <v>18</v>
      </c>
      <c r="D290" t="s">
        <v>14</v>
      </c>
      <c r="E290" t="s">
        <v>24</v>
      </c>
      <c r="F290">
        <v>48.51</v>
      </c>
      <c r="G290">
        <v>7</v>
      </c>
      <c r="H290">
        <v>16.9785</v>
      </c>
      <c r="I290">
        <v>356.54849999999999</v>
      </c>
      <c r="J290" s="3">
        <v>43490</v>
      </c>
      <c r="K290">
        <v>5.2</v>
      </c>
      <c r="L290" t="str" cm="1">
        <f t="array" ref="L290">_xlfn.IFS(Sales[[#This Row],[Rating]]&gt;8,"Super",Sales[[#This Row],[Rating]]&gt;=5,"Good",Sales[[#This Row],[Rating]]&lt;5,"Average")</f>
        <v>Good</v>
      </c>
      <c r="M290">
        <f t="shared" si="12"/>
        <v>1</v>
      </c>
      <c r="N290" t="str">
        <f t="shared" si="14"/>
        <v>Jan</v>
      </c>
      <c r="O290">
        <f t="shared" si="13"/>
        <v>2019</v>
      </c>
    </row>
    <row r="291" spans="1:15" x14ac:dyDescent="0.3">
      <c r="A291" t="s">
        <v>11</v>
      </c>
      <c r="B291" t="s">
        <v>12</v>
      </c>
      <c r="C291" t="s">
        <v>13</v>
      </c>
      <c r="D291" t="s">
        <v>14</v>
      </c>
      <c r="E291" t="s">
        <v>20</v>
      </c>
      <c r="F291">
        <v>94.88</v>
      </c>
      <c r="G291">
        <v>7</v>
      </c>
      <c r="H291">
        <v>33.207999999999998</v>
      </c>
      <c r="I291">
        <v>697.36800000000005</v>
      </c>
      <c r="J291" s="3">
        <v>43499</v>
      </c>
      <c r="K291">
        <v>4.2</v>
      </c>
      <c r="L291" t="str" cm="1">
        <f t="array" ref="L291">_xlfn.IFS(Sales[[#This Row],[Rating]]&gt;8,"Super",Sales[[#This Row],[Rating]]&gt;=5,"Good",Sales[[#This Row],[Rating]]&lt;5,"Average")</f>
        <v>Average</v>
      </c>
      <c r="M291">
        <f t="shared" si="12"/>
        <v>2</v>
      </c>
      <c r="N291" t="str">
        <f t="shared" si="14"/>
        <v>Jan</v>
      </c>
      <c r="O291">
        <f t="shared" si="13"/>
        <v>2019</v>
      </c>
    </row>
    <row r="292" spans="1:15" x14ac:dyDescent="0.3">
      <c r="A292" t="s">
        <v>22</v>
      </c>
      <c r="B292" t="s">
        <v>23</v>
      </c>
      <c r="C292" t="s">
        <v>13</v>
      </c>
      <c r="D292" t="s">
        <v>26</v>
      </c>
      <c r="E292" t="s">
        <v>19</v>
      </c>
      <c r="F292">
        <v>40.299999999999997</v>
      </c>
      <c r="G292">
        <v>10</v>
      </c>
      <c r="H292">
        <v>20.149999999999999</v>
      </c>
      <c r="I292">
        <v>423.15</v>
      </c>
      <c r="J292" s="3">
        <v>43489</v>
      </c>
      <c r="K292">
        <v>7</v>
      </c>
      <c r="L292" t="str" cm="1">
        <f t="array" ref="L292">_xlfn.IFS(Sales[[#This Row],[Rating]]&gt;8,"Super",Sales[[#This Row],[Rating]]&gt;=5,"Good",Sales[[#This Row],[Rating]]&lt;5,"Average")</f>
        <v>Good</v>
      </c>
      <c r="M292">
        <f t="shared" si="12"/>
        <v>1</v>
      </c>
      <c r="N292" t="str">
        <f t="shared" si="14"/>
        <v>Feb</v>
      </c>
      <c r="O292">
        <f t="shared" si="13"/>
        <v>2019</v>
      </c>
    </row>
    <row r="293" spans="1:15" x14ac:dyDescent="0.3">
      <c r="A293" t="s">
        <v>16</v>
      </c>
      <c r="B293" t="s">
        <v>17</v>
      </c>
      <c r="C293" t="s">
        <v>18</v>
      </c>
      <c r="D293" t="s">
        <v>26</v>
      </c>
      <c r="E293" t="s">
        <v>19</v>
      </c>
      <c r="F293">
        <v>27.85</v>
      </c>
      <c r="G293">
        <v>7</v>
      </c>
      <c r="H293">
        <v>9.7475000000000005</v>
      </c>
      <c r="I293">
        <v>204.69749999999999</v>
      </c>
      <c r="J293" s="3">
        <v>43538</v>
      </c>
      <c r="K293">
        <v>6</v>
      </c>
      <c r="L293" t="str" cm="1">
        <f t="array" ref="L293">_xlfn.IFS(Sales[[#This Row],[Rating]]&gt;8,"Super",Sales[[#This Row],[Rating]]&gt;=5,"Good",Sales[[#This Row],[Rating]]&lt;5,"Average")</f>
        <v>Good</v>
      </c>
      <c r="M293">
        <f t="shared" si="12"/>
        <v>3</v>
      </c>
      <c r="N293" t="str">
        <f t="shared" si="14"/>
        <v>Jan</v>
      </c>
      <c r="O293">
        <f t="shared" si="13"/>
        <v>2019</v>
      </c>
    </row>
    <row r="294" spans="1:15" x14ac:dyDescent="0.3">
      <c r="A294" t="s">
        <v>11</v>
      </c>
      <c r="B294" t="s">
        <v>12</v>
      </c>
      <c r="C294" t="s">
        <v>13</v>
      </c>
      <c r="D294" t="s">
        <v>14</v>
      </c>
      <c r="E294" t="s">
        <v>19</v>
      </c>
      <c r="F294">
        <v>62.48</v>
      </c>
      <c r="G294">
        <v>1</v>
      </c>
      <c r="H294">
        <v>3.1240000000000001</v>
      </c>
      <c r="I294">
        <v>65.603999999999999</v>
      </c>
      <c r="J294" s="3">
        <v>43514</v>
      </c>
      <c r="K294">
        <v>4.7</v>
      </c>
      <c r="L294" t="str" cm="1">
        <f t="array" ref="L294">_xlfn.IFS(Sales[[#This Row],[Rating]]&gt;8,"Super",Sales[[#This Row],[Rating]]&gt;=5,"Good",Sales[[#This Row],[Rating]]&lt;5,"Average")</f>
        <v>Average</v>
      </c>
      <c r="M294">
        <f t="shared" si="12"/>
        <v>2</v>
      </c>
      <c r="N294" t="str">
        <f t="shared" si="14"/>
        <v>Mar</v>
      </c>
      <c r="O294">
        <f t="shared" si="13"/>
        <v>2019</v>
      </c>
    </row>
    <row r="295" spans="1:15" x14ac:dyDescent="0.3">
      <c r="A295" t="s">
        <v>11</v>
      </c>
      <c r="B295" t="s">
        <v>12</v>
      </c>
      <c r="C295" t="s">
        <v>13</v>
      </c>
      <c r="D295" t="s">
        <v>14</v>
      </c>
      <c r="E295" t="s">
        <v>24</v>
      </c>
      <c r="F295">
        <v>36.36</v>
      </c>
      <c r="G295">
        <v>2</v>
      </c>
      <c r="H295">
        <v>3.6360000000000001</v>
      </c>
      <c r="I295">
        <v>76.355999999999995</v>
      </c>
      <c r="J295" s="3">
        <v>43486</v>
      </c>
      <c r="K295">
        <v>7.1</v>
      </c>
      <c r="L295" t="str" cm="1">
        <f t="array" ref="L295">_xlfn.IFS(Sales[[#This Row],[Rating]]&gt;8,"Super",Sales[[#This Row],[Rating]]&gt;=5,"Good",Sales[[#This Row],[Rating]]&lt;5,"Average")</f>
        <v>Good</v>
      </c>
      <c r="M295">
        <f t="shared" si="12"/>
        <v>1</v>
      </c>
      <c r="N295" t="str">
        <f t="shared" si="14"/>
        <v>Feb</v>
      </c>
      <c r="O295">
        <f t="shared" si="13"/>
        <v>2019</v>
      </c>
    </row>
    <row r="296" spans="1:15" x14ac:dyDescent="0.3">
      <c r="A296" t="s">
        <v>22</v>
      </c>
      <c r="B296" t="s">
        <v>23</v>
      </c>
      <c r="C296" t="s">
        <v>18</v>
      </c>
      <c r="D296" t="s">
        <v>26</v>
      </c>
      <c r="E296" t="s">
        <v>15</v>
      </c>
      <c r="F296">
        <v>18.11</v>
      </c>
      <c r="G296">
        <v>10</v>
      </c>
      <c r="H296">
        <v>9.0549999999999997</v>
      </c>
      <c r="I296">
        <v>190.155</v>
      </c>
      <c r="J296" s="3">
        <v>43537</v>
      </c>
      <c r="K296">
        <v>5.9</v>
      </c>
      <c r="L296" t="str" cm="1">
        <f t="array" ref="L296">_xlfn.IFS(Sales[[#This Row],[Rating]]&gt;8,"Super",Sales[[#This Row],[Rating]]&gt;=5,"Good",Sales[[#This Row],[Rating]]&lt;5,"Average")</f>
        <v>Good</v>
      </c>
      <c r="M296">
        <f t="shared" si="12"/>
        <v>3</v>
      </c>
      <c r="N296" t="str">
        <f t="shared" si="14"/>
        <v>Jan</v>
      </c>
      <c r="O296">
        <f t="shared" si="13"/>
        <v>2019</v>
      </c>
    </row>
    <row r="297" spans="1:15" x14ac:dyDescent="0.3">
      <c r="A297" t="s">
        <v>16</v>
      </c>
      <c r="B297" t="s">
        <v>17</v>
      </c>
      <c r="C297" t="s">
        <v>13</v>
      </c>
      <c r="D297" t="s">
        <v>14</v>
      </c>
      <c r="E297" t="s">
        <v>19</v>
      </c>
      <c r="F297">
        <v>51.92</v>
      </c>
      <c r="G297">
        <v>5</v>
      </c>
      <c r="H297">
        <v>12.98</v>
      </c>
      <c r="I297">
        <v>272.58</v>
      </c>
      <c r="J297" s="3">
        <v>43527</v>
      </c>
      <c r="K297">
        <v>7.5</v>
      </c>
      <c r="L297" t="str" cm="1">
        <f t="array" ref="L297">_xlfn.IFS(Sales[[#This Row],[Rating]]&gt;8,"Super",Sales[[#This Row],[Rating]]&gt;=5,"Good",Sales[[#This Row],[Rating]]&lt;5,"Average")</f>
        <v>Good</v>
      </c>
      <c r="M297">
        <f t="shared" si="12"/>
        <v>3</v>
      </c>
      <c r="N297" t="str">
        <f t="shared" si="14"/>
        <v>Mar</v>
      </c>
      <c r="O297">
        <f t="shared" si="13"/>
        <v>2019</v>
      </c>
    </row>
    <row r="298" spans="1:15" x14ac:dyDescent="0.3">
      <c r="A298" t="s">
        <v>16</v>
      </c>
      <c r="B298" t="s">
        <v>17</v>
      </c>
      <c r="C298" t="s">
        <v>18</v>
      </c>
      <c r="D298" t="s">
        <v>26</v>
      </c>
      <c r="E298" t="s">
        <v>19</v>
      </c>
      <c r="F298">
        <v>28.84</v>
      </c>
      <c r="G298">
        <v>4</v>
      </c>
      <c r="H298">
        <v>5.7679999999999998</v>
      </c>
      <c r="I298">
        <v>121.128</v>
      </c>
      <c r="J298" s="3">
        <v>43553</v>
      </c>
      <c r="K298">
        <v>6.4</v>
      </c>
      <c r="L298" t="str" cm="1">
        <f t="array" ref="L298">_xlfn.IFS(Sales[[#This Row],[Rating]]&gt;8,"Super",Sales[[#This Row],[Rating]]&gt;=5,"Good",Sales[[#This Row],[Rating]]&lt;5,"Average")</f>
        <v>Good</v>
      </c>
      <c r="M298">
        <f t="shared" si="12"/>
        <v>3</v>
      </c>
      <c r="N298" t="str">
        <f t="shared" si="14"/>
        <v>Mar</v>
      </c>
      <c r="O298">
        <f t="shared" si="13"/>
        <v>2019</v>
      </c>
    </row>
    <row r="299" spans="1:15" x14ac:dyDescent="0.3">
      <c r="A299" t="s">
        <v>11</v>
      </c>
      <c r="B299" t="s">
        <v>12</v>
      </c>
      <c r="C299" t="s">
        <v>13</v>
      </c>
      <c r="D299" t="s">
        <v>26</v>
      </c>
      <c r="E299" t="s">
        <v>20</v>
      </c>
      <c r="F299">
        <v>78.38</v>
      </c>
      <c r="G299">
        <v>6</v>
      </c>
      <c r="H299">
        <v>23.513999999999999</v>
      </c>
      <c r="I299">
        <v>493.79399999999998</v>
      </c>
      <c r="J299" s="3">
        <v>43475</v>
      </c>
      <c r="K299">
        <v>5.8</v>
      </c>
      <c r="L299" t="str" cm="1">
        <f t="array" ref="L299">_xlfn.IFS(Sales[[#This Row],[Rating]]&gt;8,"Super",Sales[[#This Row],[Rating]]&gt;=5,"Good",Sales[[#This Row],[Rating]]&lt;5,"Average")</f>
        <v>Good</v>
      </c>
      <c r="M299">
        <f t="shared" si="12"/>
        <v>1</v>
      </c>
      <c r="N299" t="str">
        <f t="shared" si="14"/>
        <v>Mar</v>
      </c>
      <c r="O299">
        <f t="shared" si="13"/>
        <v>2019</v>
      </c>
    </row>
    <row r="300" spans="1:15" x14ac:dyDescent="0.3">
      <c r="A300" t="s">
        <v>11</v>
      </c>
      <c r="B300" t="s">
        <v>12</v>
      </c>
      <c r="C300" t="s">
        <v>13</v>
      </c>
      <c r="D300" t="s">
        <v>26</v>
      </c>
      <c r="E300" t="s">
        <v>20</v>
      </c>
      <c r="F300">
        <v>60.01</v>
      </c>
      <c r="G300">
        <v>4</v>
      </c>
      <c r="H300">
        <v>12.002000000000001</v>
      </c>
      <c r="I300">
        <v>252.042</v>
      </c>
      <c r="J300" s="3">
        <v>43490</v>
      </c>
      <c r="K300">
        <v>4.5</v>
      </c>
      <c r="L300" t="str" cm="1">
        <f t="array" ref="L300">_xlfn.IFS(Sales[[#This Row],[Rating]]&gt;8,"Super",Sales[[#This Row],[Rating]]&gt;=5,"Good",Sales[[#This Row],[Rating]]&lt;5,"Average")</f>
        <v>Average</v>
      </c>
      <c r="M300">
        <f t="shared" si="12"/>
        <v>1</v>
      </c>
      <c r="N300" t="str">
        <f t="shared" si="14"/>
        <v>Jan</v>
      </c>
      <c r="O300">
        <f t="shared" si="13"/>
        <v>2019</v>
      </c>
    </row>
    <row r="301" spans="1:15" x14ac:dyDescent="0.3">
      <c r="A301" t="s">
        <v>16</v>
      </c>
      <c r="B301" t="s">
        <v>17</v>
      </c>
      <c r="C301" t="s">
        <v>13</v>
      </c>
      <c r="D301" t="s">
        <v>14</v>
      </c>
      <c r="E301" t="s">
        <v>20</v>
      </c>
      <c r="F301">
        <v>88.61</v>
      </c>
      <c r="G301">
        <v>1</v>
      </c>
      <c r="H301">
        <v>4.4305000000000003</v>
      </c>
      <c r="I301">
        <v>93.040499999999994</v>
      </c>
      <c r="J301" s="3">
        <v>43484</v>
      </c>
      <c r="K301">
        <v>7.7</v>
      </c>
      <c r="L301" t="str" cm="1">
        <f t="array" ref="L301">_xlfn.IFS(Sales[[#This Row],[Rating]]&gt;8,"Super",Sales[[#This Row],[Rating]]&gt;=5,"Good",Sales[[#This Row],[Rating]]&lt;5,"Average")</f>
        <v>Good</v>
      </c>
      <c r="M301">
        <f t="shared" si="12"/>
        <v>1</v>
      </c>
      <c r="N301" t="str">
        <f t="shared" si="14"/>
        <v>Jan</v>
      </c>
      <c r="O301">
        <f t="shared" si="13"/>
        <v>2019</v>
      </c>
    </row>
    <row r="302" spans="1:15" x14ac:dyDescent="0.3">
      <c r="A302" t="s">
        <v>16</v>
      </c>
      <c r="B302" t="s">
        <v>17</v>
      </c>
      <c r="C302" t="s">
        <v>18</v>
      </c>
      <c r="D302" t="s">
        <v>26</v>
      </c>
      <c r="E302" t="s">
        <v>25</v>
      </c>
      <c r="F302">
        <v>99.82</v>
      </c>
      <c r="G302">
        <v>2</v>
      </c>
      <c r="H302">
        <v>9.9819999999999993</v>
      </c>
      <c r="I302">
        <v>209.62200000000001</v>
      </c>
      <c r="J302" s="3">
        <v>43467</v>
      </c>
      <c r="K302">
        <v>6.7</v>
      </c>
      <c r="L302" t="str" cm="1">
        <f t="array" ref="L302">_xlfn.IFS(Sales[[#This Row],[Rating]]&gt;8,"Super",Sales[[#This Row],[Rating]]&gt;=5,"Good",Sales[[#This Row],[Rating]]&lt;5,"Average")</f>
        <v>Good</v>
      </c>
      <c r="M302">
        <f t="shared" si="12"/>
        <v>1</v>
      </c>
      <c r="N302" t="str">
        <f t="shared" si="14"/>
        <v>Jan</v>
      </c>
      <c r="O302">
        <f t="shared" si="13"/>
        <v>2019</v>
      </c>
    </row>
    <row r="303" spans="1:15" x14ac:dyDescent="0.3">
      <c r="A303" t="s">
        <v>22</v>
      </c>
      <c r="B303" t="s">
        <v>23</v>
      </c>
      <c r="C303" t="s">
        <v>13</v>
      </c>
      <c r="D303" t="s">
        <v>26</v>
      </c>
      <c r="E303" t="s">
        <v>15</v>
      </c>
      <c r="F303">
        <v>39.01</v>
      </c>
      <c r="G303">
        <v>1</v>
      </c>
      <c r="H303">
        <v>1.9504999999999999</v>
      </c>
      <c r="I303">
        <v>40.960500000000003</v>
      </c>
      <c r="J303" s="3">
        <v>43536</v>
      </c>
      <c r="K303">
        <v>4.7</v>
      </c>
      <c r="L303" t="str" cm="1">
        <f t="array" ref="L303">_xlfn.IFS(Sales[[#This Row],[Rating]]&gt;8,"Super",Sales[[#This Row],[Rating]]&gt;=5,"Good",Sales[[#This Row],[Rating]]&lt;5,"Average")</f>
        <v>Average</v>
      </c>
      <c r="M303">
        <f t="shared" si="12"/>
        <v>3</v>
      </c>
      <c r="N303" t="str">
        <f t="shared" si="14"/>
        <v>Jan</v>
      </c>
      <c r="O303">
        <f t="shared" si="13"/>
        <v>2019</v>
      </c>
    </row>
    <row r="304" spans="1:15" x14ac:dyDescent="0.3">
      <c r="A304" t="s">
        <v>16</v>
      </c>
      <c r="B304" t="s">
        <v>17</v>
      </c>
      <c r="C304" t="s">
        <v>18</v>
      </c>
      <c r="D304" t="s">
        <v>26</v>
      </c>
      <c r="E304" t="s">
        <v>24</v>
      </c>
      <c r="F304">
        <v>48.61</v>
      </c>
      <c r="G304">
        <v>1</v>
      </c>
      <c r="H304">
        <v>2.4304999999999999</v>
      </c>
      <c r="I304">
        <v>51.040500000000002</v>
      </c>
      <c r="J304" s="3">
        <v>43521</v>
      </c>
      <c r="K304">
        <v>4.4000000000000004</v>
      </c>
      <c r="L304" t="str" cm="1">
        <f t="array" ref="L304">_xlfn.IFS(Sales[[#This Row],[Rating]]&gt;8,"Super",Sales[[#This Row],[Rating]]&gt;=5,"Good",Sales[[#This Row],[Rating]]&lt;5,"Average")</f>
        <v>Average</v>
      </c>
      <c r="M304">
        <f t="shared" si="12"/>
        <v>2</v>
      </c>
      <c r="N304" t="str">
        <f t="shared" si="14"/>
        <v>Mar</v>
      </c>
      <c r="O304">
        <f t="shared" si="13"/>
        <v>2019</v>
      </c>
    </row>
    <row r="305" spans="1:15" x14ac:dyDescent="0.3">
      <c r="A305" t="s">
        <v>11</v>
      </c>
      <c r="B305" t="s">
        <v>12</v>
      </c>
      <c r="C305" t="s">
        <v>18</v>
      </c>
      <c r="D305" t="s">
        <v>14</v>
      </c>
      <c r="E305" t="s">
        <v>19</v>
      </c>
      <c r="F305">
        <v>51.19</v>
      </c>
      <c r="G305">
        <v>4</v>
      </c>
      <c r="H305">
        <v>10.238</v>
      </c>
      <c r="I305">
        <v>214.99799999999999</v>
      </c>
      <c r="J305" s="3">
        <v>43542</v>
      </c>
      <c r="K305">
        <v>4.7</v>
      </c>
      <c r="L305" t="str" cm="1">
        <f t="array" ref="L305">_xlfn.IFS(Sales[[#This Row],[Rating]]&gt;8,"Super",Sales[[#This Row],[Rating]]&gt;=5,"Good",Sales[[#This Row],[Rating]]&lt;5,"Average")</f>
        <v>Average</v>
      </c>
      <c r="M305">
        <f t="shared" si="12"/>
        <v>3</v>
      </c>
      <c r="N305" t="str">
        <f t="shared" si="14"/>
        <v>Feb</v>
      </c>
      <c r="O305">
        <f t="shared" si="13"/>
        <v>2019</v>
      </c>
    </row>
    <row r="306" spans="1:15" x14ac:dyDescent="0.3">
      <c r="A306" t="s">
        <v>22</v>
      </c>
      <c r="B306" t="s">
        <v>23</v>
      </c>
      <c r="C306" t="s">
        <v>18</v>
      </c>
      <c r="D306" t="s">
        <v>14</v>
      </c>
      <c r="E306" t="s">
        <v>19</v>
      </c>
      <c r="F306">
        <v>14.96</v>
      </c>
      <c r="G306">
        <v>8</v>
      </c>
      <c r="H306">
        <v>5.984</v>
      </c>
      <c r="I306">
        <v>125.664</v>
      </c>
      <c r="J306" s="3">
        <v>43519</v>
      </c>
      <c r="K306">
        <v>8.6</v>
      </c>
      <c r="L306" t="str" cm="1">
        <f t="array" ref="L306">_xlfn.IFS(Sales[[#This Row],[Rating]]&gt;8,"Super",Sales[[#This Row],[Rating]]&gt;=5,"Good",Sales[[#This Row],[Rating]]&lt;5,"Average")</f>
        <v>Super</v>
      </c>
      <c r="M306">
        <f t="shared" si="12"/>
        <v>2</v>
      </c>
      <c r="N306" t="str">
        <f t="shared" si="14"/>
        <v>Mar</v>
      </c>
      <c r="O306">
        <f t="shared" si="13"/>
        <v>2019</v>
      </c>
    </row>
    <row r="307" spans="1:15" x14ac:dyDescent="0.3">
      <c r="A307" t="s">
        <v>11</v>
      </c>
      <c r="B307" t="s">
        <v>12</v>
      </c>
      <c r="C307" t="s">
        <v>13</v>
      </c>
      <c r="D307" t="s">
        <v>26</v>
      </c>
      <c r="E307" t="s">
        <v>19</v>
      </c>
      <c r="F307">
        <v>72.2</v>
      </c>
      <c r="G307">
        <v>7</v>
      </c>
      <c r="H307">
        <v>25.27</v>
      </c>
      <c r="I307">
        <v>530.66999999999996</v>
      </c>
      <c r="J307" s="3">
        <v>43550</v>
      </c>
      <c r="K307">
        <v>4.3</v>
      </c>
      <c r="L307" t="str" cm="1">
        <f t="array" ref="L307">_xlfn.IFS(Sales[[#This Row],[Rating]]&gt;8,"Super",Sales[[#This Row],[Rating]]&gt;=5,"Good",Sales[[#This Row],[Rating]]&lt;5,"Average")</f>
        <v>Average</v>
      </c>
      <c r="M307">
        <f t="shared" si="12"/>
        <v>3</v>
      </c>
      <c r="N307" t="str">
        <f t="shared" si="14"/>
        <v>Feb</v>
      </c>
      <c r="O307">
        <f t="shared" si="13"/>
        <v>2019</v>
      </c>
    </row>
    <row r="308" spans="1:15" x14ac:dyDescent="0.3">
      <c r="A308" t="s">
        <v>11</v>
      </c>
      <c r="B308" t="s">
        <v>12</v>
      </c>
      <c r="C308" t="s">
        <v>18</v>
      </c>
      <c r="D308" t="s">
        <v>14</v>
      </c>
      <c r="E308" t="s">
        <v>21</v>
      </c>
      <c r="F308">
        <v>40.229999999999997</v>
      </c>
      <c r="G308">
        <v>7</v>
      </c>
      <c r="H308">
        <v>14.080500000000001</v>
      </c>
      <c r="I308">
        <v>295.69049999999999</v>
      </c>
      <c r="J308" s="3">
        <v>43554</v>
      </c>
      <c r="K308">
        <v>9.6</v>
      </c>
      <c r="L308" t="str" cm="1">
        <f t="array" ref="L308">_xlfn.IFS(Sales[[#This Row],[Rating]]&gt;8,"Super",Sales[[#This Row],[Rating]]&gt;=5,"Good",Sales[[#This Row],[Rating]]&lt;5,"Average")</f>
        <v>Super</v>
      </c>
      <c r="M308">
        <f t="shared" si="12"/>
        <v>3</v>
      </c>
      <c r="N308" t="str">
        <f t="shared" si="14"/>
        <v>Mar</v>
      </c>
      <c r="O308">
        <f t="shared" si="13"/>
        <v>2019</v>
      </c>
    </row>
    <row r="309" spans="1:15" x14ac:dyDescent="0.3">
      <c r="A309" t="s">
        <v>11</v>
      </c>
      <c r="B309" t="s">
        <v>12</v>
      </c>
      <c r="C309" t="s">
        <v>13</v>
      </c>
      <c r="D309" t="s">
        <v>14</v>
      </c>
      <c r="E309" t="s">
        <v>20</v>
      </c>
      <c r="F309">
        <v>88.79</v>
      </c>
      <c r="G309">
        <v>8</v>
      </c>
      <c r="H309">
        <v>35.515999999999998</v>
      </c>
      <c r="I309">
        <v>745.83600000000001</v>
      </c>
      <c r="J309" s="3">
        <v>43513</v>
      </c>
      <c r="K309">
        <v>4.0999999999999996</v>
      </c>
      <c r="L309" t="str" cm="1">
        <f t="array" ref="L309">_xlfn.IFS(Sales[[#This Row],[Rating]]&gt;8,"Super",Sales[[#This Row],[Rating]]&gt;=5,"Good",Sales[[#This Row],[Rating]]&lt;5,"Average")</f>
        <v>Average</v>
      </c>
      <c r="M309">
        <f t="shared" si="12"/>
        <v>2</v>
      </c>
      <c r="N309" t="str">
        <f t="shared" si="14"/>
        <v>Mar</v>
      </c>
      <c r="O309">
        <f t="shared" si="13"/>
        <v>2019</v>
      </c>
    </row>
    <row r="310" spans="1:15" x14ac:dyDescent="0.3">
      <c r="A310" t="s">
        <v>11</v>
      </c>
      <c r="B310" t="s">
        <v>12</v>
      </c>
      <c r="C310" t="s">
        <v>13</v>
      </c>
      <c r="D310" t="s">
        <v>14</v>
      </c>
      <c r="E310" t="s">
        <v>19</v>
      </c>
      <c r="F310">
        <v>26.48</v>
      </c>
      <c r="G310">
        <v>3</v>
      </c>
      <c r="H310">
        <v>3.972</v>
      </c>
      <c r="I310">
        <v>83.412000000000006</v>
      </c>
      <c r="J310" s="3">
        <v>43545</v>
      </c>
      <c r="K310">
        <v>4.7</v>
      </c>
      <c r="L310" t="str" cm="1">
        <f t="array" ref="L310">_xlfn.IFS(Sales[[#This Row],[Rating]]&gt;8,"Super",Sales[[#This Row],[Rating]]&gt;=5,"Good",Sales[[#This Row],[Rating]]&lt;5,"Average")</f>
        <v>Average</v>
      </c>
      <c r="M310">
        <f t="shared" si="12"/>
        <v>3</v>
      </c>
      <c r="N310" t="str">
        <f t="shared" si="14"/>
        <v>Feb</v>
      </c>
      <c r="O310">
        <f t="shared" si="13"/>
        <v>2019</v>
      </c>
    </row>
    <row r="311" spans="1:15" x14ac:dyDescent="0.3">
      <c r="A311" t="s">
        <v>11</v>
      </c>
      <c r="B311" t="s">
        <v>12</v>
      </c>
      <c r="C311" t="s">
        <v>18</v>
      </c>
      <c r="D311" t="s">
        <v>14</v>
      </c>
      <c r="E311" t="s">
        <v>25</v>
      </c>
      <c r="F311">
        <v>81.91</v>
      </c>
      <c r="G311">
        <v>2</v>
      </c>
      <c r="H311">
        <v>8.1910000000000007</v>
      </c>
      <c r="I311">
        <v>172.011</v>
      </c>
      <c r="J311" s="3">
        <v>43529</v>
      </c>
      <c r="K311">
        <v>7.8</v>
      </c>
      <c r="L311" t="str" cm="1">
        <f t="array" ref="L311">_xlfn.IFS(Sales[[#This Row],[Rating]]&gt;8,"Super",Sales[[#This Row],[Rating]]&gt;=5,"Good",Sales[[#This Row],[Rating]]&lt;5,"Average")</f>
        <v>Good</v>
      </c>
      <c r="M311">
        <f t="shared" si="12"/>
        <v>3</v>
      </c>
      <c r="N311" t="str">
        <f t="shared" si="14"/>
        <v>Mar</v>
      </c>
      <c r="O311">
        <f t="shared" si="13"/>
        <v>2019</v>
      </c>
    </row>
    <row r="312" spans="1:15" x14ac:dyDescent="0.3">
      <c r="A312" t="s">
        <v>22</v>
      </c>
      <c r="B312" t="s">
        <v>23</v>
      </c>
      <c r="C312" t="s">
        <v>13</v>
      </c>
      <c r="D312" t="s">
        <v>26</v>
      </c>
      <c r="E312" t="s">
        <v>21</v>
      </c>
      <c r="F312">
        <v>79.930000000000007</v>
      </c>
      <c r="G312">
        <v>6</v>
      </c>
      <c r="H312">
        <v>23.978999999999999</v>
      </c>
      <c r="I312">
        <v>503.55900000000003</v>
      </c>
      <c r="J312" s="3">
        <v>43496</v>
      </c>
      <c r="K312">
        <v>5.5</v>
      </c>
      <c r="L312" t="str" cm="1">
        <f t="array" ref="L312">_xlfn.IFS(Sales[[#This Row],[Rating]]&gt;8,"Super",Sales[[#This Row],[Rating]]&gt;=5,"Good",Sales[[#This Row],[Rating]]&lt;5,"Average")</f>
        <v>Good</v>
      </c>
      <c r="M312">
        <f t="shared" si="12"/>
        <v>1</v>
      </c>
      <c r="N312" t="str">
        <f t="shared" si="14"/>
        <v>Mar</v>
      </c>
      <c r="O312">
        <f t="shared" si="13"/>
        <v>2019</v>
      </c>
    </row>
    <row r="313" spans="1:15" x14ac:dyDescent="0.3">
      <c r="A313" t="s">
        <v>16</v>
      </c>
      <c r="B313" t="s">
        <v>17</v>
      </c>
      <c r="C313" t="s">
        <v>13</v>
      </c>
      <c r="D313" t="s">
        <v>26</v>
      </c>
      <c r="E313" t="s">
        <v>25</v>
      </c>
      <c r="F313">
        <v>69.33</v>
      </c>
      <c r="G313">
        <v>2</v>
      </c>
      <c r="H313">
        <v>6.9329999999999998</v>
      </c>
      <c r="I313">
        <v>145.59299999999999</v>
      </c>
      <c r="J313" s="3">
        <v>43501</v>
      </c>
      <c r="K313">
        <v>9.6999999999999993</v>
      </c>
      <c r="L313" t="str" cm="1">
        <f t="array" ref="L313">_xlfn.IFS(Sales[[#This Row],[Rating]]&gt;8,"Super",Sales[[#This Row],[Rating]]&gt;=5,"Good",Sales[[#This Row],[Rating]]&lt;5,"Average")</f>
        <v>Super</v>
      </c>
      <c r="M313">
        <f t="shared" si="12"/>
        <v>2</v>
      </c>
      <c r="N313" t="str">
        <f t="shared" si="14"/>
        <v>Jan</v>
      </c>
      <c r="O313">
        <f t="shared" si="13"/>
        <v>2019</v>
      </c>
    </row>
    <row r="314" spans="1:15" x14ac:dyDescent="0.3">
      <c r="A314" t="s">
        <v>11</v>
      </c>
      <c r="B314" t="s">
        <v>12</v>
      </c>
      <c r="C314" t="s">
        <v>13</v>
      </c>
      <c r="D314" t="s">
        <v>14</v>
      </c>
      <c r="E314" t="s">
        <v>24</v>
      </c>
      <c r="F314">
        <v>14.23</v>
      </c>
      <c r="G314">
        <v>5</v>
      </c>
      <c r="H314">
        <v>3.5575000000000001</v>
      </c>
      <c r="I314">
        <v>74.707499999999996</v>
      </c>
      <c r="J314" s="3">
        <v>43497</v>
      </c>
      <c r="K314">
        <v>4.4000000000000004</v>
      </c>
      <c r="L314" t="str" cm="1">
        <f t="array" ref="L314">_xlfn.IFS(Sales[[#This Row],[Rating]]&gt;8,"Super",Sales[[#This Row],[Rating]]&gt;=5,"Good",Sales[[#This Row],[Rating]]&lt;5,"Average")</f>
        <v>Average</v>
      </c>
      <c r="M314">
        <f t="shared" si="12"/>
        <v>2</v>
      </c>
      <c r="N314" t="str">
        <f t="shared" si="14"/>
        <v>Feb</v>
      </c>
      <c r="O314">
        <f t="shared" si="13"/>
        <v>2019</v>
      </c>
    </row>
    <row r="315" spans="1:15" x14ac:dyDescent="0.3">
      <c r="A315" t="s">
        <v>11</v>
      </c>
      <c r="B315" t="s">
        <v>12</v>
      </c>
      <c r="C315" t="s">
        <v>13</v>
      </c>
      <c r="D315" t="s">
        <v>14</v>
      </c>
      <c r="E315" t="s">
        <v>15</v>
      </c>
      <c r="F315">
        <v>15.55</v>
      </c>
      <c r="G315">
        <v>9</v>
      </c>
      <c r="H315">
        <v>6.9974999999999996</v>
      </c>
      <c r="I315">
        <v>146.94749999999999</v>
      </c>
      <c r="J315" s="3">
        <v>43531</v>
      </c>
      <c r="K315">
        <v>5</v>
      </c>
      <c r="L315" t="str" cm="1">
        <f t="array" ref="L315">_xlfn.IFS(Sales[[#This Row],[Rating]]&gt;8,"Super",Sales[[#This Row],[Rating]]&gt;=5,"Good",Sales[[#This Row],[Rating]]&lt;5,"Average")</f>
        <v>Good</v>
      </c>
      <c r="M315">
        <f t="shared" si="12"/>
        <v>3</v>
      </c>
      <c r="N315" t="str">
        <f t="shared" si="14"/>
        <v>Feb</v>
      </c>
      <c r="O315">
        <f t="shared" si="13"/>
        <v>2019</v>
      </c>
    </row>
    <row r="316" spans="1:15" x14ac:dyDescent="0.3">
      <c r="A316" t="s">
        <v>16</v>
      </c>
      <c r="B316" t="s">
        <v>17</v>
      </c>
      <c r="C316" t="s">
        <v>13</v>
      </c>
      <c r="D316" t="s">
        <v>14</v>
      </c>
      <c r="E316" t="s">
        <v>19</v>
      </c>
      <c r="F316">
        <v>78.13</v>
      </c>
      <c r="G316">
        <v>10</v>
      </c>
      <c r="H316">
        <v>39.064999999999998</v>
      </c>
      <c r="I316">
        <v>820.36500000000001</v>
      </c>
      <c r="J316" s="3">
        <v>43506</v>
      </c>
      <c r="K316">
        <v>4.4000000000000004</v>
      </c>
      <c r="L316" t="str" cm="1">
        <f t="array" ref="L316">_xlfn.IFS(Sales[[#This Row],[Rating]]&gt;8,"Super",Sales[[#This Row],[Rating]]&gt;=5,"Good",Sales[[#This Row],[Rating]]&lt;5,"Average")</f>
        <v>Average</v>
      </c>
      <c r="M316">
        <f t="shared" si="12"/>
        <v>2</v>
      </c>
      <c r="N316" t="str">
        <f t="shared" si="14"/>
        <v>Mar</v>
      </c>
      <c r="O316">
        <f t="shared" si="13"/>
        <v>2019</v>
      </c>
    </row>
    <row r="317" spans="1:15" x14ac:dyDescent="0.3">
      <c r="A317" t="s">
        <v>16</v>
      </c>
      <c r="B317" t="s">
        <v>17</v>
      </c>
      <c r="C317" t="s">
        <v>13</v>
      </c>
      <c r="D317" t="s">
        <v>26</v>
      </c>
      <c r="E317" t="s">
        <v>24</v>
      </c>
      <c r="F317">
        <v>99.37</v>
      </c>
      <c r="G317">
        <v>2</v>
      </c>
      <c r="H317">
        <v>9.9369999999999994</v>
      </c>
      <c r="I317">
        <v>208.67699999999999</v>
      </c>
      <c r="J317" s="3">
        <v>43510</v>
      </c>
      <c r="K317">
        <v>5.2</v>
      </c>
      <c r="L317" t="str" cm="1">
        <f t="array" ref="L317">_xlfn.IFS(Sales[[#This Row],[Rating]]&gt;8,"Super",Sales[[#This Row],[Rating]]&gt;=5,"Good",Sales[[#This Row],[Rating]]&lt;5,"Average")</f>
        <v>Good</v>
      </c>
      <c r="M317">
        <f t="shared" si="12"/>
        <v>2</v>
      </c>
      <c r="N317" t="str">
        <f t="shared" si="14"/>
        <v>Feb</v>
      </c>
      <c r="O317">
        <f t="shared" si="13"/>
        <v>2019</v>
      </c>
    </row>
    <row r="318" spans="1:15" x14ac:dyDescent="0.3">
      <c r="A318" t="s">
        <v>16</v>
      </c>
      <c r="B318" t="s">
        <v>17</v>
      </c>
      <c r="C318" t="s">
        <v>13</v>
      </c>
      <c r="D318" t="s">
        <v>14</v>
      </c>
      <c r="E318" t="s">
        <v>24</v>
      </c>
      <c r="F318">
        <v>21.08</v>
      </c>
      <c r="G318">
        <v>3</v>
      </c>
      <c r="H318">
        <v>3.1619999999999999</v>
      </c>
      <c r="I318">
        <v>66.402000000000001</v>
      </c>
      <c r="J318" s="3">
        <v>43505</v>
      </c>
      <c r="K318">
        <v>7.3</v>
      </c>
      <c r="L318" t="str" cm="1">
        <f t="array" ref="L318">_xlfn.IFS(Sales[[#This Row],[Rating]]&gt;8,"Super",Sales[[#This Row],[Rating]]&gt;=5,"Good",Sales[[#This Row],[Rating]]&lt;5,"Average")</f>
        <v>Good</v>
      </c>
      <c r="M318">
        <f t="shared" si="12"/>
        <v>2</v>
      </c>
      <c r="N318" t="str">
        <f t="shared" si="14"/>
        <v>Feb</v>
      </c>
      <c r="O318">
        <f t="shared" si="13"/>
        <v>2019</v>
      </c>
    </row>
    <row r="319" spans="1:15" x14ac:dyDescent="0.3">
      <c r="A319" t="s">
        <v>16</v>
      </c>
      <c r="B319" t="s">
        <v>17</v>
      </c>
      <c r="C319" t="s">
        <v>13</v>
      </c>
      <c r="D319" t="s">
        <v>26</v>
      </c>
      <c r="E319" t="s">
        <v>19</v>
      </c>
      <c r="F319">
        <v>74.790000000000006</v>
      </c>
      <c r="G319">
        <v>5</v>
      </c>
      <c r="H319">
        <v>18.697500000000002</v>
      </c>
      <c r="I319">
        <v>392.64749999999998</v>
      </c>
      <c r="J319" s="3">
        <v>43475</v>
      </c>
      <c r="K319">
        <v>4.9000000000000004</v>
      </c>
      <c r="L319" t="str" cm="1">
        <f t="array" ref="L319">_xlfn.IFS(Sales[[#This Row],[Rating]]&gt;8,"Super",Sales[[#This Row],[Rating]]&gt;=5,"Good",Sales[[#This Row],[Rating]]&lt;5,"Average")</f>
        <v>Average</v>
      </c>
      <c r="M319">
        <f t="shared" si="12"/>
        <v>1</v>
      </c>
      <c r="N319" t="str">
        <f t="shared" si="14"/>
        <v>Feb</v>
      </c>
      <c r="O319">
        <f t="shared" si="13"/>
        <v>2019</v>
      </c>
    </row>
    <row r="320" spans="1:15" x14ac:dyDescent="0.3">
      <c r="A320" t="s">
        <v>16</v>
      </c>
      <c r="B320" t="s">
        <v>17</v>
      </c>
      <c r="C320" t="s">
        <v>13</v>
      </c>
      <c r="D320" t="s">
        <v>14</v>
      </c>
      <c r="E320" t="s">
        <v>15</v>
      </c>
      <c r="F320">
        <v>29.67</v>
      </c>
      <c r="G320">
        <v>7</v>
      </c>
      <c r="H320">
        <v>10.384499999999999</v>
      </c>
      <c r="I320">
        <v>218.0745</v>
      </c>
      <c r="J320" s="3">
        <v>43535</v>
      </c>
      <c r="K320">
        <v>8.1</v>
      </c>
      <c r="L320" t="str" cm="1">
        <f t="array" ref="L320">_xlfn.IFS(Sales[[#This Row],[Rating]]&gt;8,"Super",Sales[[#This Row],[Rating]]&gt;=5,"Good",Sales[[#This Row],[Rating]]&lt;5,"Average")</f>
        <v>Super</v>
      </c>
      <c r="M320">
        <f t="shared" si="12"/>
        <v>3</v>
      </c>
      <c r="N320" t="str">
        <f t="shared" si="14"/>
        <v>Jan</v>
      </c>
      <c r="O320">
        <f t="shared" si="13"/>
        <v>2019</v>
      </c>
    </row>
    <row r="321" spans="1:15" x14ac:dyDescent="0.3">
      <c r="A321" t="s">
        <v>16</v>
      </c>
      <c r="B321" t="s">
        <v>17</v>
      </c>
      <c r="C321" t="s">
        <v>13</v>
      </c>
      <c r="D321" t="s">
        <v>26</v>
      </c>
      <c r="E321" t="s">
        <v>15</v>
      </c>
      <c r="F321">
        <v>44.07</v>
      </c>
      <c r="G321">
        <v>4</v>
      </c>
      <c r="H321">
        <v>8.8140000000000001</v>
      </c>
      <c r="I321">
        <v>185.09399999999999</v>
      </c>
      <c r="J321" s="3">
        <v>43514</v>
      </c>
      <c r="K321">
        <v>8.4</v>
      </c>
      <c r="L321" t="str" cm="1">
        <f t="array" ref="L321">_xlfn.IFS(Sales[[#This Row],[Rating]]&gt;8,"Super",Sales[[#This Row],[Rating]]&gt;=5,"Good",Sales[[#This Row],[Rating]]&lt;5,"Average")</f>
        <v>Super</v>
      </c>
      <c r="M321">
        <f t="shared" si="12"/>
        <v>2</v>
      </c>
      <c r="N321" t="str">
        <f t="shared" si="14"/>
        <v>Mar</v>
      </c>
      <c r="O321">
        <f t="shared" si="13"/>
        <v>2019</v>
      </c>
    </row>
    <row r="322" spans="1:15" x14ac:dyDescent="0.3">
      <c r="A322" t="s">
        <v>16</v>
      </c>
      <c r="B322" t="s">
        <v>17</v>
      </c>
      <c r="C322" t="s">
        <v>18</v>
      </c>
      <c r="D322" t="s">
        <v>14</v>
      </c>
      <c r="E322" t="s">
        <v>24</v>
      </c>
      <c r="F322">
        <v>22.93</v>
      </c>
      <c r="G322">
        <v>9</v>
      </c>
      <c r="H322">
        <v>10.3185</v>
      </c>
      <c r="I322">
        <v>216.6885</v>
      </c>
      <c r="J322" s="3">
        <v>43522</v>
      </c>
      <c r="K322">
        <v>5.5</v>
      </c>
      <c r="L322" t="str" cm="1">
        <f t="array" ref="L322">_xlfn.IFS(Sales[[#This Row],[Rating]]&gt;8,"Super",Sales[[#This Row],[Rating]]&gt;=5,"Good",Sales[[#This Row],[Rating]]&lt;5,"Average")</f>
        <v>Good</v>
      </c>
      <c r="M322">
        <f t="shared" si="12"/>
        <v>2</v>
      </c>
      <c r="N322" t="str">
        <f t="shared" si="14"/>
        <v>Feb</v>
      </c>
      <c r="O322">
        <f t="shared" si="13"/>
        <v>2019</v>
      </c>
    </row>
    <row r="323" spans="1:15" x14ac:dyDescent="0.3">
      <c r="A323" t="s">
        <v>16</v>
      </c>
      <c r="B323" t="s">
        <v>17</v>
      </c>
      <c r="C323" t="s">
        <v>18</v>
      </c>
      <c r="D323" t="s">
        <v>14</v>
      </c>
      <c r="E323" t="s">
        <v>15</v>
      </c>
      <c r="F323">
        <v>39.42</v>
      </c>
      <c r="G323">
        <v>1</v>
      </c>
      <c r="H323">
        <v>1.9710000000000001</v>
      </c>
      <c r="I323">
        <v>41.390999999999998</v>
      </c>
      <c r="J323" s="3">
        <v>43483</v>
      </c>
      <c r="K323">
        <v>8.4</v>
      </c>
      <c r="L323" t="str" cm="1">
        <f t="array" ref="L323">_xlfn.IFS(Sales[[#This Row],[Rating]]&gt;8,"Super",Sales[[#This Row],[Rating]]&gt;=5,"Good",Sales[[#This Row],[Rating]]&lt;5,"Average")</f>
        <v>Super</v>
      </c>
      <c r="M323">
        <f t="shared" ref="M323:M386" si="15">MONTH(J323)</f>
        <v>1</v>
      </c>
      <c r="N323" t="str">
        <f t="shared" si="14"/>
        <v>Feb</v>
      </c>
      <c r="O323">
        <f t="shared" ref="O323:O386" si="16">YEAR(J323)</f>
        <v>2019</v>
      </c>
    </row>
    <row r="324" spans="1:15" x14ac:dyDescent="0.3">
      <c r="A324" t="s">
        <v>11</v>
      </c>
      <c r="B324" t="s">
        <v>12</v>
      </c>
      <c r="C324" t="s">
        <v>18</v>
      </c>
      <c r="D324" t="s">
        <v>26</v>
      </c>
      <c r="E324" t="s">
        <v>15</v>
      </c>
      <c r="F324">
        <v>15.26</v>
      </c>
      <c r="G324">
        <v>6</v>
      </c>
      <c r="H324">
        <v>4.5780000000000003</v>
      </c>
      <c r="I324">
        <v>96.138000000000005</v>
      </c>
      <c r="J324" s="3">
        <v>43511</v>
      </c>
      <c r="K324">
        <v>9.8000000000000007</v>
      </c>
      <c r="L324" t="str" cm="1">
        <f t="array" ref="L324">_xlfn.IFS(Sales[[#This Row],[Rating]]&gt;8,"Super",Sales[[#This Row],[Rating]]&gt;=5,"Good",Sales[[#This Row],[Rating]]&lt;5,"Average")</f>
        <v>Super</v>
      </c>
      <c r="M324">
        <f t="shared" si="15"/>
        <v>2</v>
      </c>
      <c r="N324" t="str">
        <f t="shared" ref="N324:N387" si="17">TEXT(J323,"MMM")</f>
        <v>Jan</v>
      </c>
      <c r="O324">
        <f t="shared" si="16"/>
        <v>2019</v>
      </c>
    </row>
    <row r="325" spans="1:15" x14ac:dyDescent="0.3">
      <c r="A325" t="s">
        <v>11</v>
      </c>
      <c r="B325" t="s">
        <v>12</v>
      </c>
      <c r="C325" t="s">
        <v>18</v>
      </c>
      <c r="D325" t="s">
        <v>14</v>
      </c>
      <c r="E325" t="s">
        <v>25</v>
      </c>
      <c r="F325">
        <v>61.77</v>
      </c>
      <c r="G325">
        <v>5</v>
      </c>
      <c r="H325">
        <v>15.442500000000001</v>
      </c>
      <c r="I325">
        <v>324.29250000000002</v>
      </c>
      <c r="J325" s="3">
        <v>43532</v>
      </c>
      <c r="K325">
        <v>6.7</v>
      </c>
      <c r="L325" t="str" cm="1">
        <f t="array" ref="L325">_xlfn.IFS(Sales[[#This Row],[Rating]]&gt;8,"Super",Sales[[#This Row],[Rating]]&gt;=5,"Good",Sales[[#This Row],[Rating]]&lt;5,"Average")</f>
        <v>Good</v>
      </c>
      <c r="M325">
        <f t="shared" si="15"/>
        <v>3</v>
      </c>
      <c r="N325" t="str">
        <f t="shared" si="17"/>
        <v>Feb</v>
      </c>
      <c r="O325">
        <f t="shared" si="16"/>
        <v>2019</v>
      </c>
    </row>
    <row r="326" spans="1:15" x14ac:dyDescent="0.3">
      <c r="A326" t="s">
        <v>11</v>
      </c>
      <c r="B326" t="s">
        <v>12</v>
      </c>
      <c r="C326" t="s">
        <v>18</v>
      </c>
      <c r="D326" t="s">
        <v>26</v>
      </c>
      <c r="E326" t="s">
        <v>20</v>
      </c>
      <c r="F326">
        <v>21.52</v>
      </c>
      <c r="G326">
        <v>6</v>
      </c>
      <c r="H326">
        <v>6.4560000000000004</v>
      </c>
      <c r="I326">
        <v>135.57599999999999</v>
      </c>
      <c r="J326" s="3">
        <v>43482</v>
      </c>
      <c r="K326">
        <v>9.4</v>
      </c>
      <c r="L326" t="str" cm="1">
        <f t="array" ref="L326">_xlfn.IFS(Sales[[#This Row],[Rating]]&gt;8,"Super",Sales[[#This Row],[Rating]]&gt;=5,"Good",Sales[[#This Row],[Rating]]&lt;5,"Average")</f>
        <v>Super</v>
      </c>
      <c r="M326">
        <f t="shared" si="15"/>
        <v>1</v>
      </c>
      <c r="N326" t="str">
        <f t="shared" si="17"/>
        <v>Mar</v>
      </c>
      <c r="O326">
        <f t="shared" si="16"/>
        <v>2019</v>
      </c>
    </row>
    <row r="327" spans="1:15" x14ac:dyDescent="0.3">
      <c r="A327" t="s">
        <v>22</v>
      </c>
      <c r="B327" t="s">
        <v>23</v>
      </c>
      <c r="C327" t="s">
        <v>18</v>
      </c>
      <c r="D327" t="s">
        <v>26</v>
      </c>
      <c r="E327" t="s">
        <v>21</v>
      </c>
      <c r="F327">
        <v>97.74</v>
      </c>
      <c r="G327">
        <v>4</v>
      </c>
      <c r="H327">
        <v>19.547999999999998</v>
      </c>
      <c r="I327">
        <v>410.50799999999998</v>
      </c>
      <c r="J327" s="3">
        <v>43536</v>
      </c>
      <c r="K327">
        <v>6.4</v>
      </c>
      <c r="L327" t="str" cm="1">
        <f t="array" ref="L327">_xlfn.IFS(Sales[[#This Row],[Rating]]&gt;8,"Super",Sales[[#This Row],[Rating]]&gt;=5,"Good",Sales[[#This Row],[Rating]]&lt;5,"Average")</f>
        <v>Good</v>
      </c>
      <c r="M327">
        <f t="shared" si="15"/>
        <v>3</v>
      </c>
      <c r="N327" t="str">
        <f t="shared" si="17"/>
        <v>Jan</v>
      </c>
      <c r="O327">
        <f t="shared" si="16"/>
        <v>2019</v>
      </c>
    </row>
    <row r="328" spans="1:15" x14ac:dyDescent="0.3">
      <c r="A328" t="s">
        <v>11</v>
      </c>
      <c r="B328" t="s">
        <v>12</v>
      </c>
      <c r="C328" t="s">
        <v>13</v>
      </c>
      <c r="D328" t="s">
        <v>26</v>
      </c>
      <c r="E328" t="s">
        <v>24</v>
      </c>
      <c r="F328">
        <v>99.78</v>
      </c>
      <c r="G328">
        <v>5</v>
      </c>
      <c r="H328">
        <v>24.945</v>
      </c>
      <c r="I328">
        <v>523.84500000000003</v>
      </c>
      <c r="J328" s="3">
        <v>43533</v>
      </c>
      <c r="K328">
        <v>5.4</v>
      </c>
      <c r="L328" t="str" cm="1">
        <f t="array" ref="L328">_xlfn.IFS(Sales[[#This Row],[Rating]]&gt;8,"Super",Sales[[#This Row],[Rating]]&gt;=5,"Good",Sales[[#This Row],[Rating]]&lt;5,"Average")</f>
        <v>Good</v>
      </c>
      <c r="M328">
        <f t="shared" si="15"/>
        <v>3</v>
      </c>
      <c r="N328" t="str">
        <f t="shared" si="17"/>
        <v>Mar</v>
      </c>
      <c r="O328">
        <f t="shared" si="16"/>
        <v>2019</v>
      </c>
    </row>
    <row r="329" spans="1:15" x14ac:dyDescent="0.3">
      <c r="A329" t="s">
        <v>16</v>
      </c>
      <c r="B329" t="s">
        <v>17</v>
      </c>
      <c r="C329" t="s">
        <v>13</v>
      </c>
      <c r="D329" t="s">
        <v>26</v>
      </c>
      <c r="E329" t="s">
        <v>24</v>
      </c>
      <c r="F329">
        <v>94.26</v>
      </c>
      <c r="G329">
        <v>4</v>
      </c>
      <c r="H329">
        <v>18.852</v>
      </c>
      <c r="I329">
        <v>395.892</v>
      </c>
      <c r="J329" s="3">
        <v>43536</v>
      </c>
      <c r="K329">
        <v>8.6</v>
      </c>
      <c r="L329" t="str" cm="1">
        <f t="array" ref="L329">_xlfn.IFS(Sales[[#This Row],[Rating]]&gt;8,"Super",Sales[[#This Row],[Rating]]&gt;=5,"Good",Sales[[#This Row],[Rating]]&lt;5,"Average")</f>
        <v>Super</v>
      </c>
      <c r="M329">
        <f t="shared" si="15"/>
        <v>3</v>
      </c>
      <c r="N329" t="str">
        <f t="shared" si="17"/>
        <v>Mar</v>
      </c>
      <c r="O329">
        <f t="shared" si="16"/>
        <v>2019</v>
      </c>
    </row>
    <row r="330" spans="1:15" x14ac:dyDescent="0.3">
      <c r="A330" t="s">
        <v>22</v>
      </c>
      <c r="B330" t="s">
        <v>23</v>
      </c>
      <c r="C330" t="s">
        <v>13</v>
      </c>
      <c r="D330" t="s">
        <v>26</v>
      </c>
      <c r="E330" t="s">
        <v>15</v>
      </c>
      <c r="F330">
        <v>51.13</v>
      </c>
      <c r="G330">
        <v>4</v>
      </c>
      <c r="H330">
        <v>10.226000000000001</v>
      </c>
      <c r="I330">
        <v>214.74600000000001</v>
      </c>
      <c r="J330" s="3">
        <v>43490</v>
      </c>
      <c r="K330">
        <v>4</v>
      </c>
      <c r="L330" t="str" cm="1">
        <f t="array" ref="L330">_xlfn.IFS(Sales[[#This Row],[Rating]]&gt;8,"Super",Sales[[#This Row],[Rating]]&gt;=5,"Good",Sales[[#This Row],[Rating]]&lt;5,"Average")</f>
        <v>Average</v>
      </c>
      <c r="M330">
        <f t="shared" si="15"/>
        <v>1</v>
      </c>
      <c r="N330" t="str">
        <f t="shared" si="17"/>
        <v>Mar</v>
      </c>
      <c r="O330">
        <f t="shared" si="16"/>
        <v>2019</v>
      </c>
    </row>
    <row r="331" spans="1:15" x14ac:dyDescent="0.3">
      <c r="A331" t="s">
        <v>11</v>
      </c>
      <c r="B331" t="s">
        <v>12</v>
      </c>
      <c r="C331" t="s">
        <v>13</v>
      </c>
      <c r="D331" t="s">
        <v>26</v>
      </c>
      <c r="E331" t="s">
        <v>19</v>
      </c>
      <c r="F331">
        <v>36.36</v>
      </c>
      <c r="G331">
        <v>4</v>
      </c>
      <c r="H331">
        <v>7.2720000000000002</v>
      </c>
      <c r="I331">
        <v>152.71199999999999</v>
      </c>
      <c r="J331" s="3">
        <v>43549</v>
      </c>
      <c r="K331">
        <v>7.6</v>
      </c>
      <c r="L331" t="str" cm="1">
        <f t="array" ref="L331">_xlfn.IFS(Sales[[#This Row],[Rating]]&gt;8,"Super",Sales[[#This Row],[Rating]]&gt;=5,"Good",Sales[[#This Row],[Rating]]&lt;5,"Average")</f>
        <v>Good</v>
      </c>
      <c r="M331">
        <f t="shared" si="15"/>
        <v>3</v>
      </c>
      <c r="N331" t="str">
        <f t="shared" si="17"/>
        <v>Jan</v>
      </c>
      <c r="O331">
        <f t="shared" si="16"/>
        <v>2019</v>
      </c>
    </row>
    <row r="332" spans="1:15" x14ac:dyDescent="0.3">
      <c r="A332" t="s">
        <v>22</v>
      </c>
      <c r="B332" t="s">
        <v>23</v>
      </c>
      <c r="C332" t="s">
        <v>18</v>
      </c>
      <c r="D332" t="s">
        <v>26</v>
      </c>
      <c r="E332" t="s">
        <v>20</v>
      </c>
      <c r="F332">
        <v>22.02</v>
      </c>
      <c r="G332">
        <v>9</v>
      </c>
      <c r="H332">
        <v>9.9090000000000007</v>
      </c>
      <c r="I332">
        <v>208.089</v>
      </c>
      <c r="J332" s="3">
        <v>43503</v>
      </c>
      <c r="K332">
        <v>6.8</v>
      </c>
      <c r="L332" t="str" cm="1">
        <f t="array" ref="L332">_xlfn.IFS(Sales[[#This Row],[Rating]]&gt;8,"Super",Sales[[#This Row],[Rating]]&gt;=5,"Good",Sales[[#This Row],[Rating]]&lt;5,"Average")</f>
        <v>Good</v>
      </c>
      <c r="M332">
        <f t="shared" si="15"/>
        <v>2</v>
      </c>
      <c r="N332" t="str">
        <f t="shared" si="17"/>
        <v>Mar</v>
      </c>
      <c r="O332">
        <f t="shared" si="16"/>
        <v>2019</v>
      </c>
    </row>
    <row r="333" spans="1:15" x14ac:dyDescent="0.3">
      <c r="A333" t="s">
        <v>11</v>
      </c>
      <c r="B333" t="s">
        <v>12</v>
      </c>
      <c r="C333" t="s">
        <v>18</v>
      </c>
      <c r="D333" t="s">
        <v>26</v>
      </c>
      <c r="E333" t="s">
        <v>24</v>
      </c>
      <c r="F333">
        <v>32.9</v>
      </c>
      <c r="G333">
        <v>3</v>
      </c>
      <c r="H333">
        <v>4.9349999999999996</v>
      </c>
      <c r="I333">
        <v>103.63500000000001</v>
      </c>
      <c r="J333" s="3">
        <v>43513</v>
      </c>
      <c r="K333">
        <v>9.1</v>
      </c>
      <c r="L333" t="str" cm="1">
        <f t="array" ref="L333">_xlfn.IFS(Sales[[#This Row],[Rating]]&gt;8,"Super",Sales[[#This Row],[Rating]]&gt;=5,"Good",Sales[[#This Row],[Rating]]&lt;5,"Average")</f>
        <v>Super</v>
      </c>
      <c r="M333">
        <f t="shared" si="15"/>
        <v>2</v>
      </c>
      <c r="N333" t="str">
        <f t="shared" si="17"/>
        <v>Feb</v>
      </c>
      <c r="O333">
        <f t="shared" si="16"/>
        <v>2019</v>
      </c>
    </row>
    <row r="334" spans="1:15" x14ac:dyDescent="0.3">
      <c r="A334" t="s">
        <v>11</v>
      </c>
      <c r="B334" t="s">
        <v>12</v>
      </c>
      <c r="C334" t="s">
        <v>18</v>
      </c>
      <c r="D334" t="s">
        <v>26</v>
      </c>
      <c r="E334" t="s">
        <v>25</v>
      </c>
      <c r="F334">
        <v>77.02</v>
      </c>
      <c r="G334">
        <v>5</v>
      </c>
      <c r="H334">
        <v>19.254999999999999</v>
      </c>
      <c r="I334">
        <v>404.35500000000002</v>
      </c>
      <c r="J334" s="3">
        <v>43499</v>
      </c>
      <c r="K334">
        <v>5.5</v>
      </c>
      <c r="L334" t="str" cm="1">
        <f t="array" ref="L334">_xlfn.IFS(Sales[[#This Row],[Rating]]&gt;8,"Super",Sales[[#This Row],[Rating]]&gt;=5,"Good",Sales[[#This Row],[Rating]]&lt;5,"Average")</f>
        <v>Good</v>
      </c>
      <c r="M334">
        <f t="shared" si="15"/>
        <v>2</v>
      </c>
      <c r="N334" t="str">
        <f t="shared" si="17"/>
        <v>Feb</v>
      </c>
      <c r="O334">
        <f t="shared" si="16"/>
        <v>2019</v>
      </c>
    </row>
    <row r="335" spans="1:15" x14ac:dyDescent="0.3">
      <c r="A335" t="s">
        <v>11</v>
      </c>
      <c r="B335" t="s">
        <v>12</v>
      </c>
      <c r="C335" t="s">
        <v>13</v>
      </c>
      <c r="D335" t="s">
        <v>26</v>
      </c>
      <c r="E335" t="s">
        <v>24</v>
      </c>
      <c r="F335">
        <v>23.48</v>
      </c>
      <c r="G335">
        <v>2</v>
      </c>
      <c r="H335">
        <v>2.3479999999999999</v>
      </c>
      <c r="I335">
        <v>49.308</v>
      </c>
      <c r="J335" s="3">
        <v>43538</v>
      </c>
      <c r="K335">
        <v>7.9</v>
      </c>
      <c r="L335" t="str" cm="1">
        <f t="array" ref="L335">_xlfn.IFS(Sales[[#This Row],[Rating]]&gt;8,"Super",Sales[[#This Row],[Rating]]&gt;=5,"Good",Sales[[#This Row],[Rating]]&lt;5,"Average")</f>
        <v>Good</v>
      </c>
      <c r="M335">
        <f t="shared" si="15"/>
        <v>3</v>
      </c>
      <c r="N335" t="str">
        <f t="shared" si="17"/>
        <v>Feb</v>
      </c>
      <c r="O335">
        <f t="shared" si="16"/>
        <v>2019</v>
      </c>
    </row>
    <row r="336" spans="1:15" x14ac:dyDescent="0.3">
      <c r="A336" t="s">
        <v>16</v>
      </c>
      <c r="B336" t="s">
        <v>17</v>
      </c>
      <c r="C336" t="s">
        <v>13</v>
      </c>
      <c r="D336" t="s">
        <v>26</v>
      </c>
      <c r="E336" t="s">
        <v>21</v>
      </c>
      <c r="F336">
        <v>14.7</v>
      </c>
      <c r="G336">
        <v>5</v>
      </c>
      <c r="H336">
        <v>3.6749999999999998</v>
      </c>
      <c r="I336">
        <v>77.174999999999997</v>
      </c>
      <c r="J336" s="3">
        <v>43548</v>
      </c>
      <c r="K336">
        <v>8.5</v>
      </c>
      <c r="L336" t="str" cm="1">
        <f t="array" ref="L336">_xlfn.IFS(Sales[[#This Row],[Rating]]&gt;8,"Super",Sales[[#This Row],[Rating]]&gt;=5,"Good",Sales[[#This Row],[Rating]]&lt;5,"Average")</f>
        <v>Super</v>
      </c>
      <c r="M336">
        <f t="shared" si="15"/>
        <v>3</v>
      </c>
      <c r="N336" t="str">
        <f t="shared" si="17"/>
        <v>Mar</v>
      </c>
      <c r="O336">
        <f t="shared" si="16"/>
        <v>2019</v>
      </c>
    </row>
    <row r="337" spans="1:15" x14ac:dyDescent="0.3">
      <c r="A337" t="s">
        <v>11</v>
      </c>
      <c r="B337" t="s">
        <v>12</v>
      </c>
      <c r="C337" t="s">
        <v>13</v>
      </c>
      <c r="D337" t="s">
        <v>14</v>
      </c>
      <c r="E337" t="s">
        <v>19</v>
      </c>
      <c r="F337">
        <v>28.45</v>
      </c>
      <c r="G337">
        <v>5</v>
      </c>
      <c r="H337">
        <v>7.1124999999999998</v>
      </c>
      <c r="I337">
        <v>149.36250000000001</v>
      </c>
      <c r="J337" s="3">
        <v>43545</v>
      </c>
      <c r="K337">
        <v>9.1</v>
      </c>
      <c r="L337" t="str" cm="1">
        <f t="array" ref="L337">_xlfn.IFS(Sales[[#This Row],[Rating]]&gt;8,"Super",Sales[[#This Row],[Rating]]&gt;=5,"Good",Sales[[#This Row],[Rating]]&lt;5,"Average")</f>
        <v>Super</v>
      </c>
      <c r="M337">
        <f t="shared" si="15"/>
        <v>3</v>
      </c>
      <c r="N337" t="str">
        <f t="shared" si="17"/>
        <v>Mar</v>
      </c>
      <c r="O337">
        <f t="shared" si="16"/>
        <v>2019</v>
      </c>
    </row>
    <row r="338" spans="1:15" x14ac:dyDescent="0.3">
      <c r="A338" t="s">
        <v>11</v>
      </c>
      <c r="B338" t="s">
        <v>12</v>
      </c>
      <c r="C338" t="s">
        <v>18</v>
      </c>
      <c r="D338" t="s">
        <v>26</v>
      </c>
      <c r="E338" t="s">
        <v>25</v>
      </c>
      <c r="F338">
        <v>76.400000000000006</v>
      </c>
      <c r="G338">
        <v>9</v>
      </c>
      <c r="H338">
        <v>34.380000000000003</v>
      </c>
      <c r="I338">
        <v>721.98</v>
      </c>
      <c r="J338" s="3">
        <v>43543</v>
      </c>
      <c r="K338">
        <v>7.5</v>
      </c>
      <c r="L338" t="str" cm="1">
        <f t="array" ref="L338">_xlfn.IFS(Sales[[#This Row],[Rating]]&gt;8,"Super",Sales[[#This Row],[Rating]]&gt;=5,"Good",Sales[[#This Row],[Rating]]&lt;5,"Average")</f>
        <v>Good</v>
      </c>
      <c r="M338">
        <f t="shared" si="15"/>
        <v>3</v>
      </c>
      <c r="N338" t="str">
        <f t="shared" si="17"/>
        <v>Mar</v>
      </c>
      <c r="O338">
        <f t="shared" si="16"/>
        <v>2019</v>
      </c>
    </row>
    <row r="339" spans="1:15" x14ac:dyDescent="0.3">
      <c r="A339" t="s">
        <v>22</v>
      </c>
      <c r="B339" t="s">
        <v>23</v>
      </c>
      <c r="C339" t="s">
        <v>18</v>
      </c>
      <c r="D339" t="s">
        <v>14</v>
      </c>
      <c r="E339" t="s">
        <v>21</v>
      </c>
      <c r="F339">
        <v>57.95</v>
      </c>
      <c r="G339">
        <v>6</v>
      </c>
      <c r="H339">
        <v>17.385000000000002</v>
      </c>
      <c r="I339">
        <v>365.08499999999998</v>
      </c>
      <c r="J339" s="3">
        <v>43520</v>
      </c>
      <c r="K339">
        <v>5.2</v>
      </c>
      <c r="L339" t="str" cm="1">
        <f t="array" ref="L339">_xlfn.IFS(Sales[[#This Row],[Rating]]&gt;8,"Super",Sales[[#This Row],[Rating]]&gt;=5,"Good",Sales[[#This Row],[Rating]]&lt;5,"Average")</f>
        <v>Good</v>
      </c>
      <c r="M339">
        <f t="shared" si="15"/>
        <v>2</v>
      </c>
      <c r="N339" t="str">
        <f t="shared" si="17"/>
        <v>Mar</v>
      </c>
      <c r="O339">
        <f t="shared" si="16"/>
        <v>2019</v>
      </c>
    </row>
    <row r="340" spans="1:15" x14ac:dyDescent="0.3">
      <c r="A340" t="s">
        <v>16</v>
      </c>
      <c r="B340" t="s">
        <v>17</v>
      </c>
      <c r="C340" t="s">
        <v>18</v>
      </c>
      <c r="D340" t="s">
        <v>14</v>
      </c>
      <c r="E340" t="s">
        <v>19</v>
      </c>
      <c r="F340">
        <v>47.65</v>
      </c>
      <c r="G340">
        <v>3</v>
      </c>
      <c r="H340">
        <v>7.1475</v>
      </c>
      <c r="I340">
        <v>150.0975</v>
      </c>
      <c r="J340" s="3">
        <v>43552</v>
      </c>
      <c r="K340">
        <v>9.5</v>
      </c>
      <c r="L340" t="str" cm="1">
        <f t="array" ref="L340">_xlfn.IFS(Sales[[#This Row],[Rating]]&gt;8,"Super",Sales[[#This Row],[Rating]]&gt;=5,"Good",Sales[[#This Row],[Rating]]&lt;5,"Average")</f>
        <v>Super</v>
      </c>
      <c r="M340">
        <f t="shared" si="15"/>
        <v>3</v>
      </c>
      <c r="N340" t="str">
        <f t="shared" si="17"/>
        <v>Feb</v>
      </c>
      <c r="O340">
        <f t="shared" si="16"/>
        <v>2019</v>
      </c>
    </row>
    <row r="341" spans="1:15" x14ac:dyDescent="0.3">
      <c r="A341" t="s">
        <v>22</v>
      </c>
      <c r="B341" t="s">
        <v>23</v>
      </c>
      <c r="C341" t="s">
        <v>13</v>
      </c>
      <c r="D341" t="s">
        <v>14</v>
      </c>
      <c r="E341" t="s">
        <v>24</v>
      </c>
      <c r="F341">
        <v>42.82</v>
      </c>
      <c r="G341">
        <v>9</v>
      </c>
      <c r="H341">
        <v>19.268999999999998</v>
      </c>
      <c r="I341">
        <v>404.649</v>
      </c>
      <c r="J341" s="3">
        <v>43501</v>
      </c>
      <c r="K341">
        <v>8.9</v>
      </c>
      <c r="L341" t="str" cm="1">
        <f t="array" ref="L341">_xlfn.IFS(Sales[[#This Row],[Rating]]&gt;8,"Super",Sales[[#This Row],[Rating]]&gt;=5,"Good",Sales[[#This Row],[Rating]]&lt;5,"Average")</f>
        <v>Super</v>
      </c>
      <c r="M341">
        <f t="shared" si="15"/>
        <v>2</v>
      </c>
      <c r="N341" t="str">
        <f t="shared" si="17"/>
        <v>Mar</v>
      </c>
      <c r="O341">
        <f t="shared" si="16"/>
        <v>2019</v>
      </c>
    </row>
    <row r="342" spans="1:15" x14ac:dyDescent="0.3">
      <c r="A342" t="s">
        <v>22</v>
      </c>
      <c r="B342" t="s">
        <v>23</v>
      </c>
      <c r="C342" t="s">
        <v>13</v>
      </c>
      <c r="D342" t="s">
        <v>26</v>
      </c>
      <c r="E342" t="s">
        <v>19</v>
      </c>
      <c r="F342">
        <v>48.09</v>
      </c>
      <c r="G342">
        <v>3</v>
      </c>
      <c r="H342">
        <v>7.2134999999999998</v>
      </c>
      <c r="I342">
        <v>151.48349999999999</v>
      </c>
      <c r="J342" s="3">
        <v>43506</v>
      </c>
      <c r="K342">
        <v>7.8</v>
      </c>
      <c r="L342" t="str" cm="1">
        <f t="array" ref="L342">_xlfn.IFS(Sales[[#This Row],[Rating]]&gt;8,"Super",Sales[[#This Row],[Rating]]&gt;=5,"Good",Sales[[#This Row],[Rating]]&lt;5,"Average")</f>
        <v>Good</v>
      </c>
      <c r="M342">
        <f t="shared" si="15"/>
        <v>2</v>
      </c>
      <c r="N342" t="str">
        <f t="shared" si="17"/>
        <v>Feb</v>
      </c>
      <c r="O342">
        <f t="shared" si="16"/>
        <v>2019</v>
      </c>
    </row>
    <row r="343" spans="1:15" x14ac:dyDescent="0.3">
      <c r="A343" t="s">
        <v>22</v>
      </c>
      <c r="B343" t="s">
        <v>23</v>
      </c>
      <c r="C343" t="s">
        <v>13</v>
      </c>
      <c r="D343" t="s">
        <v>14</v>
      </c>
      <c r="E343" t="s">
        <v>15</v>
      </c>
      <c r="F343">
        <v>55.97</v>
      </c>
      <c r="G343">
        <v>7</v>
      </c>
      <c r="H343">
        <v>19.589500000000001</v>
      </c>
      <c r="I343">
        <v>411.37950000000001</v>
      </c>
      <c r="J343" s="3">
        <v>43529</v>
      </c>
      <c r="K343">
        <v>8.9</v>
      </c>
      <c r="L343" t="str" cm="1">
        <f t="array" ref="L343">_xlfn.IFS(Sales[[#This Row],[Rating]]&gt;8,"Super",Sales[[#This Row],[Rating]]&gt;=5,"Good",Sales[[#This Row],[Rating]]&lt;5,"Average")</f>
        <v>Super</v>
      </c>
      <c r="M343">
        <f t="shared" si="15"/>
        <v>3</v>
      </c>
      <c r="N343" t="str">
        <f t="shared" si="17"/>
        <v>Feb</v>
      </c>
      <c r="O343">
        <f t="shared" si="16"/>
        <v>2019</v>
      </c>
    </row>
    <row r="344" spans="1:15" x14ac:dyDescent="0.3">
      <c r="A344" t="s">
        <v>22</v>
      </c>
      <c r="B344" t="s">
        <v>23</v>
      </c>
      <c r="C344" t="s">
        <v>13</v>
      </c>
      <c r="D344" t="s">
        <v>14</v>
      </c>
      <c r="E344" t="s">
        <v>15</v>
      </c>
      <c r="F344">
        <v>76.900000000000006</v>
      </c>
      <c r="G344">
        <v>7</v>
      </c>
      <c r="H344">
        <v>26.914999999999999</v>
      </c>
      <c r="I344">
        <v>565.21500000000003</v>
      </c>
      <c r="J344" s="3">
        <v>43511</v>
      </c>
      <c r="K344">
        <v>7.7</v>
      </c>
      <c r="L344" t="str" cm="1">
        <f t="array" ref="L344">_xlfn.IFS(Sales[[#This Row],[Rating]]&gt;8,"Super",Sales[[#This Row],[Rating]]&gt;=5,"Good",Sales[[#This Row],[Rating]]&lt;5,"Average")</f>
        <v>Good</v>
      </c>
      <c r="M344">
        <f t="shared" si="15"/>
        <v>2</v>
      </c>
      <c r="N344" t="str">
        <f t="shared" si="17"/>
        <v>Mar</v>
      </c>
      <c r="O344">
        <f t="shared" si="16"/>
        <v>2019</v>
      </c>
    </row>
    <row r="345" spans="1:15" x14ac:dyDescent="0.3">
      <c r="A345" t="s">
        <v>16</v>
      </c>
      <c r="B345" t="s">
        <v>17</v>
      </c>
      <c r="C345" t="s">
        <v>18</v>
      </c>
      <c r="D345" t="s">
        <v>14</v>
      </c>
      <c r="E345" t="s">
        <v>24</v>
      </c>
      <c r="F345">
        <v>97.03</v>
      </c>
      <c r="G345">
        <v>5</v>
      </c>
      <c r="H345">
        <v>24.2575</v>
      </c>
      <c r="I345">
        <v>509.40750000000003</v>
      </c>
      <c r="J345" s="3">
        <v>43495</v>
      </c>
      <c r="K345">
        <v>9.3000000000000007</v>
      </c>
      <c r="L345" t="str" cm="1">
        <f t="array" ref="L345">_xlfn.IFS(Sales[[#This Row],[Rating]]&gt;8,"Super",Sales[[#This Row],[Rating]]&gt;=5,"Good",Sales[[#This Row],[Rating]]&lt;5,"Average")</f>
        <v>Super</v>
      </c>
      <c r="M345">
        <f t="shared" si="15"/>
        <v>1</v>
      </c>
      <c r="N345" t="str">
        <f t="shared" si="17"/>
        <v>Feb</v>
      </c>
      <c r="O345">
        <f t="shared" si="16"/>
        <v>2019</v>
      </c>
    </row>
    <row r="346" spans="1:15" x14ac:dyDescent="0.3">
      <c r="A346" t="s">
        <v>11</v>
      </c>
      <c r="B346" t="s">
        <v>12</v>
      </c>
      <c r="C346" t="s">
        <v>18</v>
      </c>
      <c r="D346" t="s">
        <v>26</v>
      </c>
      <c r="E346" t="s">
        <v>21</v>
      </c>
      <c r="F346">
        <v>44.65</v>
      </c>
      <c r="G346">
        <v>3</v>
      </c>
      <c r="H346">
        <v>6.6974999999999998</v>
      </c>
      <c r="I346">
        <v>140.64750000000001</v>
      </c>
      <c r="J346" s="3">
        <v>43510</v>
      </c>
      <c r="K346">
        <v>6.2</v>
      </c>
      <c r="L346" t="str" cm="1">
        <f t="array" ref="L346">_xlfn.IFS(Sales[[#This Row],[Rating]]&gt;8,"Super",Sales[[#This Row],[Rating]]&gt;=5,"Good",Sales[[#This Row],[Rating]]&lt;5,"Average")</f>
        <v>Good</v>
      </c>
      <c r="M346">
        <f t="shared" si="15"/>
        <v>2</v>
      </c>
      <c r="N346" t="str">
        <f t="shared" si="17"/>
        <v>Jan</v>
      </c>
      <c r="O346">
        <f t="shared" si="16"/>
        <v>2019</v>
      </c>
    </row>
    <row r="347" spans="1:15" x14ac:dyDescent="0.3">
      <c r="A347" t="s">
        <v>11</v>
      </c>
      <c r="B347" t="s">
        <v>12</v>
      </c>
      <c r="C347" t="s">
        <v>18</v>
      </c>
      <c r="D347" t="s">
        <v>14</v>
      </c>
      <c r="E347" t="s">
        <v>25</v>
      </c>
      <c r="F347">
        <v>77.930000000000007</v>
      </c>
      <c r="G347">
        <v>9</v>
      </c>
      <c r="H347">
        <v>35.0685</v>
      </c>
      <c r="I347">
        <v>736.43849999999998</v>
      </c>
      <c r="J347" s="3">
        <v>43523</v>
      </c>
      <c r="K347">
        <v>7.6</v>
      </c>
      <c r="L347" t="str" cm="1">
        <f t="array" ref="L347">_xlfn.IFS(Sales[[#This Row],[Rating]]&gt;8,"Super",Sales[[#This Row],[Rating]]&gt;=5,"Good",Sales[[#This Row],[Rating]]&lt;5,"Average")</f>
        <v>Good</v>
      </c>
      <c r="M347">
        <f t="shared" si="15"/>
        <v>2</v>
      </c>
      <c r="N347" t="str">
        <f t="shared" si="17"/>
        <v>Feb</v>
      </c>
      <c r="O347">
        <f t="shared" si="16"/>
        <v>2019</v>
      </c>
    </row>
    <row r="348" spans="1:15" x14ac:dyDescent="0.3">
      <c r="A348" t="s">
        <v>11</v>
      </c>
      <c r="B348" t="s">
        <v>12</v>
      </c>
      <c r="C348" t="s">
        <v>13</v>
      </c>
      <c r="D348" t="s">
        <v>26</v>
      </c>
      <c r="E348" t="s">
        <v>19</v>
      </c>
      <c r="F348">
        <v>71.95</v>
      </c>
      <c r="G348">
        <v>1</v>
      </c>
      <c r="H348">
        <v>3.5975000000000001</v>
      </c>
      <c r="I348">
        <v>75.547499999999999</v>
      </c>
      <c r="J348" s="3">
        <v>43500</v>
      </c>
      <c r="K348">
        <v>7.3</v>
      </c>
      <c r="L348" t="str" cm="1">
        <f t="array" ref="L348">_xlfn.IFS(Sales[[#This Row],[Rating]]&gt;8,"Super",Sales[[#This Row],[Rating]]&gt;=5,"Good",Sales[[#This Row],[Rating]]&lt;5,"Average")</f>
        <v>Good</v>
      </c>
      <c r="M348">
        <f t="shared" si="15"/>
        <v>2</v>
      </c>
      <c r="N348" t="str">
        <f t="shared" si="17"/>
        <v>Feb</v>
      </c>
      <c r="O348">
        <f t="shared" si="16"/>
        <v>2019</v>
      </c>
    </row>
    <row r="349" spans="1:15" x14ac:dyDescent="0.3">
      <c r="A349" t="s">
        <v>16</v>
      </c>
      <c r="B349" t="s">
        <v>17</v>
      </c>
      <c r="C349" t="s">
        <v>13</v>
      </c>
      <c r="D349" t="s">
        <v>14</v>
      </c>
      <c r="E349" t="s">
        <v>20</v>
      </c>
      <c r="F349">
        <v>89.25</v>
      </c>
      <c r="G349">
        <v>8</v>
      </c>
      <c r="H349">
        <v>35.700000000000003</v>
      </c>
      <c r="I349">
        <v>749.7</v>
      </c>
      <c r="J349" s="3">
        <v>43485</v>
      </c>
      <c r="K349">
        <v>4.7</v>
      </c>
      <c r="L349" t="str" cm="1">
        <f t="array" ref="L349">_xlfn.IFS(Sales[[#This Row],[Rating]]&gt;8,"Super",Sales[[#This Row],[Rating]]&gt;=5,"Good",Sales[[#This Row],[Rating]]&lt;5,"Average")</f>
        <v>Average</v>
      </c>
      <c r="M349">
        <f t="shared" si="15"/>
        <v>1</v>
      </c>
      <c r="N349" t="str">
        <f t="shared" si="17"/>
        <v>Feb</v>
      </c>
      <c r="O349">
        <f t="shared" si="16"/>
        <v>2019</v>
      </c>
    </row>
    <row r="350" spans="1:15" x14ac:dyDescent="0.3">
      <c r="A350" t="s">
        <v>11</v>
      </c>
      <c r="B350" t="s">
        <v>12</v>
      </c>
      <c r="C350" t="s">
        <v>18</v>
      </c>
      <c r="D350" t="s">
        <v>26</v>
      </c>
      <c r="E350" t="s">
        <v>19</v>
      </c>
      <c r="F350">
        <v>26.02</v>
      </c>
      <c r="G350">
        <v>7</v>
      </c>
      <c r="H350">
        <v>9.1069999999999993</v>
      </c>
      <c r="I350">
        <v>191.24700000000001</v>
      </c>
      <c r="J350" s="3">
        <v>43552</v>
      </c>
      <c r="K350">
        <v>5.0999999999999996</v>
      </c>
      <c r="L350" t="str" cm="1">
        <f t="array" ref="L350">_xlfn.IFS(Sales[[#This Row],[Rating]]&gt;8,"Super",Sales[[#This Row],[Rating]]&gt;=5,"Good",Sales[[#This Row],[Rating]]&lt;5,"Average")</f>
        <v>Good</v>
      </c>
      <c r="M350">
        <f t="shared" si="15"/>
        <v>3</v>
      </c>
      <c r="N350" t="str">
        <f t="shared" si="17"/>
        <v>Jan</v>
      </c>
      <c r="O350">
        <f t="shared" si="16"/>
        <v>2019</v>
      </c>
    </row>
    <row r="351" spans="1:15" x14ac:dyDescent="0.3">
      <c r="A351" t="s">
        <v>22</v>
      </c>
      <c r="B351" t="s">
        <v>23</v>
      </c>
      <c r="C351" t="s">
        <v>18</v>
      </c>
      <c r="D351" t="s">
        <v>14</v>
      </c>
      <c r="E351" t="s">
        <v>15</v>
      </c>
      <c r="F351">
        <v>13.5</v>
      </c>
      <c r="G351">
        <v>10</v>
      </c>
      <c r="H351">
        <v>6.75</v>
      </c>
      <c r="I351">
        <v>141.75</v>
      </c>
      <c r="J351" s="3">
        <v>43523</v>
      </c>
      <c r="K351">
        <v>4.8</v>
      </c>
      <c r="L351" t="str" cm="1">
        <f t="array" ref="L351">_xlfn.IFS(Sales[[#This Row],[Rating]]&gt;8,"Super",Sales[[#This Row],[Rating]]&gt;=5,"Good",Sales[[#This Row],[Rating]]&lt;5,"Average")</f>
        <v>Average</v>
      </c>
      <c r="M351">
        <f t="shared" si="15"/>
        <v>2</v>
      </c>
      <c r="N351" t="str">
        <f t="shared" si="17"/>
        <v>Mar</v>
      </c>
      <c r="O351">
        <f t="shared" si="16"/>
        <v>2019</v>
      </c>
    </row>
    <row r="352" spans="1:15" x14ac:dyDescent="0.3">
      <c r="A352" t="s">
        <v>16</v>
      </c>
      <c r="B352" t="s">
        <v>17</v>
      </c>
      <c r="C352" t="s">
        <v>13</v>
      </c>
      <c r="D352" t="s">
        <v>14</v>
      </c>
      <c r="E352" t="s">
        <v>25</v>
      </c>
      <c r="F352">
        <v>99.3</v>
      </c>
      <c r="G352">
        <v>10</v>
      </c>
      <c r="H352">
        <v>49.65</v>
      </c>
      <c r="I352">
        <v>1042.6500000000001</v>
      </c>
      <c r="J352" s="3">
        <v>43511</v>
      </c>
      <c r="K352">
        <v>6.6</v>
      </c>
      <c r="L352" t="str" cm="1">
        <f t="array" ref="L352">_xlfn.IFS(Sales[[#This Row],[Rating]]&gt;8,"Super",Sales[[#This Row],[Rating]]&gt;=5,"Good",Sales[[#This Row],[Rating]]&lt;5,"Average")</f>
        <v>Good</v>
      </c>
      <c r="M352">
        <f t="shared" si="15"/>
        <v>2</v>
      </c>
      <c r="N352" t="str">
        <f t="shared" si="17"/>
        <v>Feb</v>
      </c>
      <c r="O352">
        <f t="shared" si="16"/>
        <v>2019</v>
      </c>
    </row>
    <row r="353" spans="1:15" x14ac:dyDescent="0.3">
      <c r="A353" t="s">
        <v>11</v>
      </c>
      <c r="B353" t="s">
        <v>12</v>
      </c>
      <c r="C353" t="s">
        <v>18</v>
      </c>
      <c r="D353" t="s">
        <v>26</v>
      </c>
      <c r="E353" t="s">
        <v>19</v>
      </c>
      <c r="F353">
        <v>51.69</v>
      </c>
      <c r="G353">
        <v>7</v>
      </c>
      <c r="H353">
        <v>18.0915</v>
      </c>
      <c r="I353">
        <v>379.92149999999998</v>
      </c>
      <c r="J353" s="3">
        <v>43491</v>
      </c>
      <c r="K353">
        <v>5.5</v>
      </c>
      <c r="L353" t="str" cm="1">
        <f t="array" ref="L353">_xlfn.IFS(Sales[[#This Row],[Rating]]&gt;8,"Super",Sales[[#This Row],[Rating]]&gt;=5,"Good",Sales[[#This Row],[Rating]]&lt;5,"Average")</f>
        <v>Good</v>
      </c>
      <c r="M353">
        <f t="shared" si="15"/>
        <v>1</v>
      </c>
      <c r="N353" t="str">
        <f t="shared" si="17"/>
        <v>Feb</v>
      </c>
      <c r="O353">
        <f t="shared" si="16"/>
        <v>2019</v>
      </c>
    </row>
    <row r="354" spans="1:15" x14ac:dyDescent="0.3">
      <c r="A354" t="s">
        <v>22</v>
      </c>
      <c r="B354" t="s">
        <v>23</v>
      </c>
      <c r="C354" t="s">
        <v>13</v>
      </c>
      <c r="D354" t="s">
        <v>14</v>
      </c>
      <c r="E354" t="s">
        <v>25</v>
      </c>
      <c r="F354">
        <v>54.73</v>
      </c>
      <c r="G354">
        <v>7</v>
      </c>
      <c r="H354">
        <v>19.1555</v>
      </c>
      <c r="I354">
        <v>402.26549999999997</v>
      </c>
      <c r="J354" s="3">
        <v>43538</v>
      </c>
      <c r="K354">
        <v>8.5</v>
      </c>
      <c r="L354" t="str" cm="1">
        <f t="array" ref="L354">_xlfn.IFS(Sales[[#This Row],[Rating]]&gt;8,"Super",Sales[[#This Row],[Rating]]&gt;=5,"Good",Sales[[#This Row],[Rating]]&lt;5,"Average")</f>
        <v>Super</v>
      </c>
      <c r="M354">
        <f t="shared" si="15"/>
        <v>3</v>
      </c>
      <c r="N354" t="str">
        <f t="shared" si="17"/>
        <v>Jan</v>
      </c>
      <c r="O354">
        <f t="shared" si="16"/>
        <v>2019</v>
      </c>
    </row>
    <row r="355" spans="1:15" x14ac:dyDescent="0.3">
      <c r="A355" t="s">
        <v>22</v>
      </c>
      <c r="B355" t="s">
        <v>23</v>
      </c>
      <c r="C355" t="s">
        <v>13</v>
      </c>
      <c r="D355" t="s">
        <v>26</v>
      </c>
      <c r="E355" t="s">
        <v>20</v>
      </c>
      <c r="F355">
        <v>27</v>
      </c>
      <c r="G355">
        <v>9</v>
      </c>
      <c r="H355">
        <v>12.15</v>
      </c>
      <c r="I355">
        <v>255.15</v>
      </c>
      <c r="J355" s="3">
        <v>43526</v>
      </c>
      <c r="K355">
        <v>4.8</v>
      </c>
      <c r="L355" t="str" cm="1">
        <f t="array" ref="L355">_xlfn.IFS(Sales[[#This Row],[Rating]]&gt;8,"Super",Sales[[#This Row],[Rating]]&gt;=5,"Good",Sales[[#This Row],[Rating]]&lt;5,"Average")</f>
        <v>Average</v>
      </c>
      <c r="M355">
        <f t="shared" si="15"/>
        <v>3</v>
      </c>
      <c r="N355" t="str">
        <f t="shared" si="17"/>
        <v>Mar</v>
      </c>
      <c r="O355">
        <f t="shared" si="16"/>
        <v>2019</v>
      </c>
    </row>
    <row r="356" spans="1:15" x14ac:dyDescent="0.3">
      <c r="A356" t="s">
        <v>16</v>
      </c>
      <c r="B356" t="s">
        <v>17</v>
      </c>
      <c r="C356" t="s">
        <v>18</v>
      </c>
      <c r="D356" t="s">
        <v>14</v>
      </c>
      <c r="E356" t="s">
        <v>19</v>
      </c>
      <c r="F356">
        <v>30.24</v>
      </c>
      <c r="G356">
        <v>1</v>
      </c>
      <c r="H356">
        <v>1.512</v>
      </c>
      <c r="I356">
        <v>31.751999999999999</v>
      </c>
      <c r="J356" s="3">
        <v>43528</v>
      </c>
      <c r="K356">
        <v>8.4</v>
      </c>
      <c r="L356" t="str" cm="1">
        <f t="array" ref="L356">_xlfn.IFS(Sales[[#This Row],[Rating]]&gt;8,"Super",Sales[[#This Row],[Rating]]&gt;=5,"Good",Sales[[#This Row],[Rating]]&lt;5,"Average")</f>
        <v>Super</v>
      </c>
      <c r="M356">
        <f t="shared" si="15"/>
        <v>3</v>
      </c>
      <c r="N356" t="str">
        <f t="shared" si="17"/>
        <v>Mar</v>
      </c>
      <c r="O356">
        <f t="shared" si="16"/>
        <v>2019</v>
      </c>
    </row>
    <row r="357" spans="1:15" x14ac:dyDescent="0.3">
      <c r="A357" t="s">
        <v>22</v>
      </c>
      <c r="B357" t="s">
        <v>23</v>
      </c>
      <c r="C357" t="s">
        <v>13</v>
      </c>
      <c r="D357" t="s">
        <v>14</v>
      </c>
      <c r="E357" t="s">
        <v>24</v>
      </c>
      <c r="F357">
        <v>89.14</v>
      </c>
      <c r="G357">
        <v>4</v>
      </c>
      <c r="H357">
        <v>17.827999999999999</v>
      </c>
      <c r="I357">
        <v>374.38799999999998</v>
      </c>
      <c r="J357" s="3">
        <v>43472</v>
      </c>
      <c r="K357">
        <v>7.8</v>
      </c>
      <c r="L357" t="str" cm="1">
        <f t="array" ref="L357">_xlfn.IFS(Sales[[#This Row],[Rating]]&gt;8,"Super",Sales[[#This Row],[Rating]]&gt;=5,"Good",Sales[[#This Row],[Rating]]&lt;5,"Average")</f>
        <v>Good</v>
      </c>
      <c r="M357">
        <f t="shared" si="15"/>
        <v>1</v>
      </c>
      <c r="N357" t="str">
        <f t="shared" si="17"/>
        <v>Mar</v>
      </c>
      <c r="O357">
        <f t="shared" si="16"/>
        <v>2019</v>
      </c>
    </row>
    <row r="358" spans="1:15" x14ac:dyDescent="0.3">
      <c r="A358" t="s">
        <v>16</v>
      </c>
      <c r="B358" t="s">
        <v>17</v>
      </c>
      <c r="C358" t="s">
        <v>18</v>
      </c>
      <c r="D358" t="s">
        <v>14</v>
      </c>
      <c r="E358" t="s">
        <v>25</v>
      </c>
      <c r="F358">
        <v>37.549999999999997</v>
      </c>
      <c r="G358">
        <v>10</v>
      </c>
      <c r="H358">
        <v>18.774999999999999</v>
      </c>
      <c r="I358">
        <v>394.27499999999998</v>
      </c>
      <c r="J358" s="3">
        <v>43532</v>
      </c>
      <c r="K358">
        <v>9.3000000000000007</v>
      </c>
      <c r="L358" t="str" cm="1">
        <f t="array" ref="L358">_xlfn.IFS(Sales[[#This Row],[Rating]]&gt;8,"Super",Sales[[#This Row],[Rating]]&gt;=5,"Good",Sales[[#This Row],[Rating]]&lt;5,"Average")</f>
        <v>Super</v>
      </c>
      <c r="M358">
        <f t="shared" si="15"/>
        <v>3</v>
      </c>
      <c r="N358" t="str">
        <f t="shared" si="17"/>
        <v>Jan</v>
      </c>
      <c r="O358">
        <f t="shared" si="16"/>
        <v>2019</v>
      </c>
    </row>
    <row r="359" spans="1:15" x14ac:dyDescent="0.3">
      <c r="A359" t="s">
        <v>16</v>
      </c>
      <c r="B359" t="s">
        <v>17</v>
      </c>
      <c r="C359" t="s">
        <v>18</v>
      </c>
      <c r="D359" t="s">
        <v>14</v>
      </c>
      <c r="E359" t="s">
        <v>21</v>
      </c>
      <c r="F359">
        <v>95.44</v>
      </c>
      <c r="G359">
        <v>10</v>
      </c>
      <c r="H359">
        <v>47.72</v>
      </c>
      <c r="I359">
        <v>1002.12</v>
      </c>
      <c r="J359" s="3">
        <v>43474</v>
      </c>
      <c r="K359">
        <v>5.2</v>
      </c>
      <c r="L359" t="str" cm="1">
        <f t="array" ref="L359">_xlfn.IFS(Sales[[#This Row],[Rating]]&gt;8,"Super",Sales[[#This Row],[Rating]]&gt;=5,"Good",Sales[[#This Row],[Rating]]&lt;5,"Average")</f>
        <v>Good</v>
      </c>
      <c r="M359">
        <f t="shared" si="15"/>
        <v>1</v>
      </c>
      <c r="N359" t="str">
        <f t="shared" si="17"/>
        <v>Mar</v>
      </c>
      <c r="O359">
        <f t="shared" si="16"/>
        <v>2019</v>
      </c>
    </row>
    <row r="360" spans="1:15" x14ac:dyDescent="0.3">
      <c r="A360" t="s">
        <v>22</v>
      </c>
      <c r="B360" t="s">
        <v>23</v>
      </c>
      <c r="C360" t="s">
        <v>18</v>
      </c>
      <c r="D360" t="s">
        <v>26</v>
      </c>
      <c r="E360" t="s">
        <v>19</v>
      </c>
      <c r="F360">
        <v>27.5</v>
      </c>
      <c r="G360">
        <v>3</v>
      </c>
      <c r="H360">
        <v>4.125</v>
      </c>
      <c r="I360">
        <v>86.625</v>
      </c>
      <c r="J360" s="3">
        <v>43525</v>
      </c>
      <c r="K360">
        <v>6.5</v>
      </c>
      <c r="L360" t="str" cm="1">
        <f t="array" ref="L360">_xlfn.IFS(Sales[[#This Row],[Rating]]&gt;8,"Super",Sales[[#This Row],[Rating]]&gt;=5,"Good",Sales[[#This Row],[Rating]]&lt;5,"Average")</f>
        <v>Good</v>
      </c>
      <c r="M360">
        <f t="shared" si="15"/>
        <v>3</v>
      </c>
      <c r="N360" t="str">
        <f t="shared" si="17"/>
        <v>Jan</v>
      </c>
      <c r="O360">
        <f t="shared" si="16"/>
        <v>2019</v>
      </c>
    </row>
    <row r="361" spans="1:15" x14ac:dyDescent="0.3">
      <c r="A361" t="s">
        <v>22</v>
      </c>
      <c r="B361" t="s">
        <v>23</v>
      </c>
      <c r="C361" t="s">
        <v>18</v>
      </c>
      <c r="D361" t="s">
        <v>26</v>
      </c>
      <c r="E361" t="s">
        <v>21</v>
      </c>
      <c r="F361">
        <v>74.97</v>
      </c>
      <c r="G361">
        <v>1</v>
      </c>
      <c r="H361">
        <v>3.7484999999999999</v>
      </c>
      <c r="I361">
        <v>78.718500000000006</v>
      </c>
      <c r="J361" s="3">
        <v>43540</v>
      </c>
      <c r="K361">
        <v>5.6</v>
      </c>
      <c r="L361" t="str" cm="1">
        <f t="array" ref="L361">_xlfn.IFS(Sales[[#This Row],[Rating]]&gt;8,"Super",Sales[[#This Row],[Rating]]&gt;=5,"Good",Sales[[#This Row],[Rating]]&lt;5,"Average")</f>
        <v>Good</v>
      </c>
      <c r="M361">
        <f t="shared" si="15"/>
        <v>3</v>
      </c>
      <c r="N361" t="str">
        <f t="shared" si="17"/>
        <v>Mar</v>
      </c>
      <c r="O361">
        <f t="shared" si="16"/>
        <v>2019</v>
      </c>
    </row>
    <row r="362" spans="1:15" x14ac:dyDescent="0.3">
      <c r="A362" t="s">
        <v>11</v>
      </c>
      <c r="B362" t="s">
        <v>12</v>
      </c>
      <c r="C362" t="s">
        <v>13</v>
      </c>
      <c r="D362" t="s">
        <v>26</v>
      </c>
      <c r="E362" t="s">
        <v>24</v>
      </c>
      <c r="F362">
        <v>80.959999999999994</v>
      </c>
      <c r="G362">
        <v>8</v>
      </c>
      <c r="H362">
        <v>32.384</v>
      </c>
      <c r="I362">
        <v>680.06399999999996</v>
      </c>
      <c r="J362" s="3">
        <v>43513</v>
      </c>
      <c r="K362">
        <v>7.4</v>
      </c>
      <c r="L362" t="str" cm="1">
        <f t="array" ref="L362">_xlfn.IFS(Sales[[#This Row],[Rating]]&gt;8,"Super",Sales[[#This Row],[Rating]]&gt;=5,"Good",Sales[[#This Row],[Rating]]&lt;5,"Average")</f>
        <v>Good</v>
      </c>
      <c r="M362">
        <f t="shared" si="15"/>
        <v>2</v>
      </c>
      <c r="N362" t="str">
        <f t="shared" si="17"/>
        <v>Mar</v>
      </c>
      <c r="O362">
        <f t="shared" si="16"/>
        <v>2019</v>
      </c>
    </row>
    <row r="363" spans="1:15" x14ac:dyDescent="0.3">
      <c r="A363" t="s">
        <v>16</v>
      </c>
      <c r="B363" t="s">
        <v>17</v>
      </c>
      <c r="C363" t="s">
        <v>18</v>
      </c>
      <c r="D363" t="s">
        <v>14</v>
      </c>
      <c r="E363" t="s">
        <v>24</v>
      </c>
      <c r="F363">
        <v>94.47</v>
      </c>
      <c r="G363">
        <v>8</v>
      </c>
      <c r="H363">
        <v>37.787999999999997</v>
      </c>
      <c r="I363">
        <v>793.548</v>
      </c>
      <c r="J363" s="3">
        <v>43523</v>
      </c>
      <c r="K363">
        <v>9.1</v>
      </c>
      <c r="L363" t="str" cm="1">
        <f t="array" ref="L363">_xlfn.IFS(Sales[[#This Row],[Rating]]&gt;8,"Super",Sales[[#This Row],[Rating]]&gt;=5,"Good",Sales[[#This Row],[Rating]]&lt;5,"Average")</f>
        <v>Super</v>
      </c>
      <c r="M363">
        <f t="shared" si="15"/>
        <v>2</v>
      </c>
      <c r="N363" t="str">
        <f t="shared" si="17"/>
        <v>Feb</v>
      </c>
      <c r="O363">
        <f t="shared" si="16"/>
        <v>2019</v>
      </c>
    </row>
    <row r="364" spans="1:15" x14ac:dyDescent="0.3">
      <c r="A364" t="s">
        <v>16</v>
      </c>
      <c r="B364" t="s">
        <v>17</v>
      </c>
      <c r="C364" t="s">
        <v>18</v>
      </c>
      <c r="D364" t="s">
        <v>26</v>
      </c>
      <c r="E364" t="s">
        <v>24</v>
      </c>
      <c r="F364">
        <v>99.79</v>
      </c>
      <c r="G364">
        <v>2</v>
      </c>
      <c r="H364">
        <v>9.9789999999999992</v>
      </c>
      <c r="I364">
        <v>209.559</v>
      </c>
      <c r="J364" s="3">
        <v>43531</v>
      </c>
      <c r="K364">
        <v>8</v>
      </c>
      <c r="L364" t="str" cm="1">
        <f t="array" ref="L364">_xlfn.IFS(Sales[[#This Row],[Rating]]&gt;8,"Super",Sales[[#This Row],[Rating]]&gt;=5,"Good",Sales[[#This Row],[Rating]]&lt;5,"Average")</f>
        <v>Good</v>
      </c>
      <c r="M364">
        <f t="shared" si="15"/>
        <v>3</v>
      </c>
      <c r="N364" t="str">
        <f t="shared" si="17"/>
        <v>Feb</v>
      </c>
      <c r="O364">
        <f t="shared" si="16"/>
        <v>2019</v>
      </c>
    </row>
    <row r="365" spans="1:15" x14ac:dyDescent="0.3">
      <c r="A365" t="s">
        <v>11</v>
      </c>
      <c r="B365" t="s">
        <v>12</v>
      </c>
      <c r="C365" t="s">
        <v>18</v>
      </c>
      <c r="D365" t="s">
        <v>26</v>
      </c>
      <c r="E365" t="s">
        <v>20</v>
      </c>
      <c r="F365">
        <v>73.22</v>
      </c>
      <c r="G365">
        <v>6</v>
      </c>
      <c r="H365">
        <v>21.966000000000001</v>
      </c>
      <c r="I365">
        <v>461.286</v>
      </c>
      <c r="J365" s="3">
        <v>43486</v>
      </c>
      <c r="K365">
        <v>7.2</v>
      </c>
      <c r="L365" t="str" cm="1">
        <f t="array" ref="L365">_xlfn.IFS(Sales[[#This Row],[Rating]]&gt;8,"Super",Sales[[#This Row],[Rating]]&gt;=5,"Good",Sales[[#This Row],[Rating]]&lt;5,"Average")</f>
        <v>Good</v>
      </c>
      <c r="M365">
        <f t="shared" si="15"/>
        <v>1</v>
      </c>
      <c r="N365" t="str">
        <f t="shared" si="17"/>
        <v>Mar</v>
      </c>
      <c r="O365">
        <f t="shared" si="16"/>
        <v>2019</v>
      </c>
    </row>
    <row r="366" spans="1:15" x14ac:dyDescent="0.3">
      <c r="A366" t="s">
        <v>16</v>
      </c>
      <c r="B366" t="s">
        <v>17</v>
      </c>
      <c r="C366" t="s">
        <v>18</v>
      </c>
      <c r="D366" t="s">
        <v>14</v>
      </c>
      <c r="E366" t="s">
        <v>24</v>
      </c>
      <c r="F366">
        <v>41.24</v>
      </c>
      <c r="G366">
        <v>4</v>
      </c>
      <c r="H366">
        <v>8.2479999999999993</v>
      </c>
      <c r="I366">
        <v>173.208</v>
      </c>
      <c r="J366" s="3">
        <v>43515</v>
      </c>
      <c r="K366">
        <v>7.1</v>
      </c>
      <c r="L366" t="str" cm="1">
        <f t="array" ref="L366">_xlfn.IFS(Sales[[#This Row],[Rating]]&gt;8,"Super",Sales[[#This Row],[Rating]]&gt;=5,"Good",Sales[[#This Row],[Rating]]&lt;5,"Average")</f>
        <v>Good</v>
      </c>
      <c r="M366">
        <f t="shared" si="15"/>
        <v>2</v>
      </c>
      <c r="N366" t="str">
        <f t="shared" si="17"/>
        <v>Jan</v>
      </c>
      <c r="O366">
        <f t="shared" si="16"/>
        <v>2019</v>
      </c>
    </row>
    <row r="367" spans="1:15" x14ac:dyDescent="0.3">
      <c r="A367" t="s">
        <v>16</v>
      </c>
      <c r="B367" t="s">
        <v>17</v>
      </c>
      <c r="C367" t="s">
        <v>18</v>
      </c>
      <c r="D367" t="s">
        <v>14</v>
      </c>
      <c r="E367" t="s">
        <v>25</v>
      </c>
      <c r="F367">
        <v>81.680000000000007</v>
      </c>
      <c r="G367">
        <v>4</v>
      </c>
      <c r="H367">
        <v>16.335999999999999</v>
      </c>
      <c r="I367">
        <v>343.05599999999998</v>
      </c>
      <c r="J367" s="3">
        <v>43471</v>
      </c>
      <c r="K367">
        <v>9.1</v>
      </c>
      <c r="L367" t="str" cm="1">
        <f t="array" ref="L367">_xlfn.IFS(Sales[[#This Row],[Rating]]&gt;8,"Super",Sales[[#This Row],[Rating]]&gt;=5,"Good",Sales[[#This Row],[Rating]]&lt;5,"Average")</f>
        <v>Super</v>
      </c>
      <c r="M367">
        <f t="shared" si="15"/>
        <v>1</v>
      </c>
      <c r="N367" t="str">
        <f t="shared" si="17"/>
        <v>Feb</v>
      </c>
      <c r="O367">
        <f t="shared" si="16"/>
        <v>2019</v>
      </c>
    </row>
    <row r="368" spans="1:15" x14ac:dyDescent="0.3">
      <c r="A368" t="s">
        <v>16</v>
      </c>
      <c r="B368" t="s">
        <v>17</v>
      </c>
      <c r="C368" t="s">
        <v>18</v>
      </c>
      <c r="D368" t="s">
        <v>14</v>
      </c>
      <c r="E368" t="s">
        <v>19</v>
      </c>
      <c r="F368">
        <v>51.32</v>
      </c>
      <c r="G368">
        <v>9</v>
      </c>
      <c r="H368">
        <v>23.094000000000001</v>
      </c>
      <c r="I368">
        <v>484.97399999999999</v>
      </c>
      <c r="J368" s="3">
        <v>43538</v>
      </c>
      <c r="K368">
        <v>5.6</v>
      </c>
      <c r="L368" t="str" cm="1">
        <f t="array" ref="L368">_xlfn.IFS(Sales[[#This Row],[Rating]]&gt;8,"Super",Sales[[#This Row],[Rating]]&gt;=5,"Good",Sales[[#This Row],[Rating]]&lt;5,"Average")</f>
        <v>Good</v>
      </c>
      <c r="M368">
        <f t="shared" si="15"/>
        <v>3</v>
      </c>
      <c r="N368" t="str">
        <f t="shared" si="17"/>
        <v>Jan</v>
      </c>
      <c r="O368">
        <f t="shared" si="16"/>
        <v>2019</v>
      </c>
    </row>
    <row r="369" spans="1:15" x14ac:dyDescent="0.3">
      <c r="A369" t="s">
        <v>11</v>
      </c>
      <c r="B369" t="s">
        <v>12</v>
      </c>
      <c r="C369" t="s">
        <v>13</v>
      </c>
      <c r="D369" t="s">
        <v>26</v>
      </c>
      <c r="E369" t="s">
        <v>20</v>
      </c>
      <c r="F369">
        <v>65.94</v>
      </c>
      <c r="G369">
        <v>4</v>
      </c>
      <c r="H369">
        <v>13.188000000000001</v>
      </c>
      <c r="I369">
        <v>276.94799999999998</v>
      </c>
      <c r="J369" s="3">
        <v>43548</v>
      </c>
      <c r="K369">
        <v>6</v>
      </c>
      <c r="L369" t="str" cm="1">
        <f t="array" ref="L369">_xlfn.IFS(Sales[[#This Row],[Rating]]&gt;8,"Super",Sales[[#This Row],[Rating]]&gt;=5,"Good",Sales[[#This Row],[Rating]]&lt;5,"Average")</f>
        <v>Good</v>
      </c>
      <c r="M369">
        <f t="shared" si="15"/>
        <v>3</v>
      </c>
      <c r="N369" t="str">
        <f t="shared" si="17"/>
        <v>Mar</v>
      </c>
      <c r="O369">
        <f t="shared" si="16"/>
        <v>2019</v>
      </c>
    </row>
    <row r="370" spans="1:15" x14ac:dyDescent="0.3">
      <c r="A370" t="s">
        <v>16</v>
      </c>
      <c r="B370" t="s">
        <v>17</v>
      </c>
      <c r="C370" t="s">
        <v>18</v>
      </c>
      <c r="D370" t="s">
        <v>14</v>
      </c>
      <c r="E370" t="s">
        <v>21</v>
      </c>
      <c r="F370">
        <v>14.36</v>
      </c>
      <c r="G370">
        <v>10</v>
      </c>
      <c r="H370">
        <v>7.18</v>
      </c>
      <c r="I370">
        <v>150.78</v>
      </c>
      <c r="J370" s="3">
        <v>43492</v>
      </c>
      <c r="K370">
        <v>5.4</v>
      </c>
      <c r="L370" t="str" cm="1">
        <f t="array" ref="L370">_xlfn.IFS(Sales[[#This Row],[Rating]]&gt;8,"Super",Sales[[#This Row],[Rating]]&gt;=5,"Good",Sales[[#This Row],[Rating]]&lt;5,"Average")</f>
        <v>Good</v>
      </c>
      <c r="M370">
        <f t="shared" si="15"/>
        <v>1</v>
      </c>
      <c r="N370" t="str">
        <f t="shared" si="17"/>
        <v>Mar</v>
      </c>
      <c r="O370">
        <f t="shared" si="16"/>
        <v>2019</v>
      </c>
    </row>
    <row r="371" spans="1:15" x14ac:dyDescent="0.3">
      <c r="A371" t="s">
        <v>11</v>
      </c>
      <c r="B371" t="s">
        <v>12</v>
      </c>
      <c r="C371" t="s">
        <v>13</v>
      </c>
      <c r="D371" t="s">
        <v>26</v>
      </c>
      <c r="E371" t="s">
        <v>19</v>
      </c>
      <c r="F371">
        <v>21.5</v>
      </c>
      <c r="G371">
        <v>9</v>
      </c>
      <c r="H371">
        <v>9.6750000000000007</v>
      </c>
      <c r="I371">
        <v>203.17500000000001</v>
      </c>
      <c r="J371" s="3">
        <v>43530</v>
      </c>
      <c r="K371">
        <v>7.8</v>
      </c>
      <c r="L371" t="str" cm="1">
        <f t="array" ref="L371">_xlfn.IFS(Sales[[#This Row],[Rating]]&gt;8,"Super",Sales[[#This Row],[Rating]]&gt;=5,"Good",Sales[[#This Row],[Rating]]&lt;5,"Average")</f>
        <v>Good</v>
      </c>
      <c r="M371">
        <f t="shared" si="15"/>
        <v>3</v>
      </c>
      <c r="N371" t="str">
        <f t="shared" si="17"/>
        <v>Jan</v>
      </c>
      <c r="O371">
        <f t="shared" si="16"/>
        <v>2019</v>
      </c>
    </row>
    <row r="372" spans="1:15" x14ac:dyDescent="0.3">
      <c r="A372" t="s">
        <v>22</v>
      </c>
      <c r="B372" t="s">
        <v>23</v>
      </c>
      <c r="C372" t="s">
        <v>13</v>
      </c>
      <c r="D372" t="s">
        <v>14</v>
      </c>
      <c r="E372" t="s">
        <v>19</v>
      </c>
      <c r="F372">
        <v>26.26</v>
      </c>
      <c r="G372">
        <v>7</v>
      </c>
      <c r="H372">
        <v>9.1910000000000007</v>
      </c>
      <c r="I372">
        <v>193.011</v>
      </c>
      <c r="J372" s="3">
        <v>43498</v>
      </c>
      <c r="K372">
        <v>9.9</v>
      </c>
      <c r="L372" t="str" cm="1">
        <f t="array" ref="L372">_xlfn.IFS(Sales[[#This Row],[Rating]]&gt;8,"Super",Sales[[#This Row],[Rating]]&gt;=5,"Good",Sales[[#This Row],[Rating]]&lt;5,"Average")</f>
        <v>Super</v>
      </c>
      <c r="M372">
        <f t="shared" si="15"/>
        <v>2</v>
      </c>
      <c r="N372" t="str">
        <f t="shared" si="17"/>
        <v>Mar</v>
      </c>
      <c r="O372">
        <f t="shared" si="16"/>
        <v>2019</v>
      </c>
    </row>
    <row r="373" spans="1:15" x14ac:dyDescent="0.3">
      <c r="A373" t="s">
        <v>22</v>
      </c>
      <c r="B373" t="s">
        <v>23</v>
      </c>
      <c r="C373" t="s">
        <v>18</v>
      </c>
      <c r="D373" t="s">
        <v>14</v>
      </c>
      <c r="E373" t="s">
        <v>25</v>
      </c>
      <c r="F373">
        <v>60.96</v>
      </c>
      <c r="G373">
        <v>2</v>
      </c>
      <c r="H373">
        <v>6.0960000000000001</v>
      </c>
      <c r="I373">
        <v>128.01599999999999</v>
      </c>
      <c r="J373" s="3">
        <v>43490</v>
      </c>
      <c r="K373">
        <v>4.9000000000000004</v>
      </c>
      <c r="L373" t="str" cm="1">
        <f t="array" ref="L373">_xlfn.IFS(Sales[[#This Row],[Rating]]&gt;8,"Super",Sales[[#This Row],[Rating]]&gt;=5,"Good",Sales[[#This Row],[Rating]]&lt;5,"Average")</f>
        <v>Average</v>
      </c>
      <c r="M373">
        <f t="shared" si="15"/>
        <v>1</v>
      </c>
      <c r="N373" t="str">
        <f t="shared" si="17"/>
        <v>Feb</v>
      </c>
      <c r="O373">
        <f t="shared" si="16"/>
        <v>2019</v>
      </c>
    </row>
    <row r="374" spans="1:15" x14ac:dyDescent="0.3">
      <c r="A374" t="s">
        <v>16</v>
      </c>
      <c r="B374" t="s">
        <v>17</v>
      </c>
      <c r="C374" t="s">
        <v>18</v>
      </c>
      <c r="D374" t="s">
        <v>14</v>
      </c>
      <c r="E374" t="s">
        <v>20</v>
      </c>
      <c r="F374">
        <v>70.11</v>
      </c>
      <c r="G374">
        <v>6</v>
      </c>
      <c r="H374">
        <v>21.033000000000001</v>
      </c>
      <c r="I374">
        <v>441.69299999999998</v>
      </c>
      <c r="J374" s="3">
        <v>43538</v>
      </c>
      <c r="K374">
        <v>5.2</v>
      </c>
      <c r="L374" t="str" cm="1">
        <f t="array" ref="L374">_xlfn.IFS(Sales[[#This Row],[Rating]]&gt;8,"Super",Sales[[#This Row],[Rating]]&gt;=5,"Good",Sales[[#This Row],[Rating]]&lt;5,"Average")</f>
        <v>Good</v>
      </c>
      <c r="M374">
        <f t="shared" si="15"/>
        <v>3</v>
      </c>
      <c r="N374" t="str">
        <f t="shared" si="17"/>
        <v>Jan</v>
      </c>
      <c r="O374">
        <f t="shared" si="16"/>
        <v>2019</v>
      </c>
    </row>
    <row r="375" spans="1:15" x14ac:dyDescent="0.3">
      <c r="A375" t="s">
        <v>16</v>
      </c>
      <c r="B375" t="s">
        <v>17</v>
      </c>
      <c r="C375" t="s">
        <v>18</v>
      </c>
      <c r="D375" t="s">
        <v>26</v>
      </c>
      <c r="E375" t="s">
        <v>25</v>
      </c>
      <c r="F375">
        <v>42.08</v>
      </c>
      <c r="G375">
        <v>6</v>
      </c>
      <c r="H375">
        <v>12.624000000000001</v>
      </c>
      <c r="I375">
        <v>265.10399999999998</v>
      </c>
      <c r="J375" s="3">
        <v>43494</v>
      </c>
      <c r="K375">
        <v>8.9</v>
      </c>
      <c r="L375" t="str" cm="1">
        <f t="array" ref="L375">_xlfn.IFS(Sales[[#This Row],[Rating]]&gt;8,"Super",Sales[[#This Row],[Rating]]&gt;=5,"Good",Sales[[#This Row],[Rating]]&lt;5,"Average")</f>
        <v>Super</v>
      </c>
      <c r="M375">
        <f t="shared" si="15"/>
        <v>1</v>
      </c>
      <c r="N375" t="str">
        <f t="shared" si="17"/>
        <v>Mar</v>
      </c>
      <c r="O375">
        <f t="shared" si="16"/>
        <v>2019</v>
      </c>
    </row>
    <row r="376" spans="1:15" x14ac:dyDescent="0.3">
      <c r="A376" t="s">
        <v>11</v>
      </c>
      <c r="B376" t="s">
        <v>12</v>
      </c>
      <c r="C376" t="s">
        <v>18</v>
      </c>
      <c r="D376" t="s">
        <v>14</v>
      </c>
      <c r="E376" t="s">
        <v>20</v>
      </c>
      <c r="F376">
        <v>67.09</v>
      </c>
      <c r="G376">
        <v>5</v>
      </c>
      <c r="H376">
        <v>16.772500000000001</v>
      </c>
      <c r="I376">
        <v>352.22250000000003</v>
      </c>
      <c r="J376" s="3">
        <v>43468</v>
      </c>
      <c r="K376">
        <v>9.1</v>
      </c>
      <c r="L376" t="str" cm="1">
        <f t="array" ref="L376">_xlfn.IFS(Sales[[#This Row],[Rating]]&gt;8,"Super",Sales[[#This Row],[Rating]]&gt;=5,"Good",Sales[[#This Row],[Rating]]&lt;5,"Average")</f>
        <v>Super</v>
      </c>
      <c r="M376">
        <f t="shared" si="15"/>
        <v>1</v>
      </c>
      <c r="N376" t="str">
        <f t="shared" si="17"/>
        <v>Jan</v>
      </c>
      <c r="O376">
        <f t="shared" si="16"/>
        <v>2019</v>
      </c>
    </row>
    <row r="377" spans="1:15" x14ac:dyDescent="0.3">
      <c r="A377" t="s">
        <v>11</v>
      </c>
      <c r="B377" t="s">
        <v>12</v>
      </c>
      <c r="C377" t="s">
        <v>13</v>
      </c>
      <c r="D377" t="s">
        <v>14</v>
      </c>
      <c r="E377" t="s">
        <v>25</v>
      </c>
      <c r="F377">
        <v>96.7</v>
      </c>
      <c r="G377">
        <v>5</v>
      </c>
      <c r="H377">
        <v>24.175000000000001</v>
      </c>
      <c r="I377">
        <v>507.67500000000001</v>
      </c>
      <c r="J377" s="3">
        <v>43479</v>
      </c>
      <c r="K377">
        <v>7</v>
      </c>
      <c r="L377" t="str" cm="1">
        <f t="array" ref="L377">_xlfn.IFS(Sales[[#This Row],[Rating]]&gt;8,"Super",Sales[[#This Row],[Rating]]&gt;=5,"Good",Sales[[#This Row],[Rating]]&lt;5,"Average")</f>
        <v>Good</v>
      </c>
      <c r="M377">
        <f t="shared" si="15"/>
        <v>1</v>
      </c>
      <c r="N377" t="str">
        <f t="shared" si="17"/>
        <v>Jan</v>
      </c>
      <c r="O377">
        <f t="shared" si="16"/>
        <v>2019</v>
      </c>
    </row>
    <row r="378" spans="1:15" x14ac:dyDescent="0.3">
      <c r="A378" t="s">
        <v>22</v>
      </c>
      <c r="B378" t="s">
        <v>23</v>
      </c>
      <c r="C378" t="s">
        <v>13</v>
      </c>
      <c r="D378" t="s">
        <v>14</v>
      </c>
      <c r="E378" t="s">
        <v>20</v>
      </c>
      <c r="F378">
        <v>35.380000000000003</v>
      </c>
      <c r="G378">
        <v>9</v>
      </c>
      <c r="H378">
        <v>15.920999999999999</v>
      </c>
      <c r="I378">
        <v>334.34100000000001</v>
      </c>
      <c r="J378" s="3">
        <v>43470</v>
      </c>
      <c r="K378">
        <v>9.6</v>
      </c>
      <c r="L378" t="str" cm="1">
        <f t="array" ref="L378">_xlfn.IFS(Sales[[#This Row],[Rating]]&gt;8,"Super",Sales[[#This Row],[Rating]]&gt;=5,"Good",Sales[[#This Row],[Rating]]&lt;5,"Average")</f>
        <v>Super</v>
      </c>
      <c r="M378">
        <f t="shared" si="15"/>
        <v>1</v>
      </c>
      <c r="N378" t="str">
        <f t="shared" si="17"/>
        <v>Jan</v>
      </c>
      <c r="O378">
        <f t="shared" si="16"/>
        <v>2019</v>
      </c>
    </row>
    <row r="379" spans="1:15" x14ac:dyDescent="0.3">
      <c r="A379" t="s">
        <v>16</v>
      </c>
      <c r="B379" t="s">
        <v>17</v>
      </c>
      <c r="C379" t="s">
        <v>18</v>
      </c>
      <c r="D379" t="s">
        <v>26</v>
      </c>
      <c r="E379" t="s">
        <v>21</v>
      </c>
      <c r="F379">
        <v>95.49</v>
      </c>
      <c r="G379">
        <v>7</v>
      </c>
      <c r="H379">
        <v>33.421500000000002</v>
      </c>
      <c r="I379">
        <v>701.85149999999999</v>
      </c>
      <c r="J379" s="3">
        <v>43518</v>
      </c>
      <c r="K379">
        <v>8.6999999999999993</v>
      </c>
      <c r="L379" t="str" cm="1">
        <f t="array" ref="L379">_xlfn.IFS(Sales[[#This Row],[Rating]]&gt;8,"Super",Sales[[#This Row],[Rating]]&gt;=5,"Good",Sales[[#This Row],[Rating]]&lt;5,"Average")</f>
        <v>Super</v>
      </c>
      <c r="M379">
        <f t="shared" si="15"/>
        <v>2</v>
      </c>
      <c r="N379" t="str">
        <f t="shared" si="17"/>
        <v>Jan</v>
      </c>
      <c r="O379">
        <f t="shared" si="16"/>
        <v>2019</v>
      </c>
    </row>
    <row r="380" spans="1:15" x14ac:dyDescent="0.3">
      <c r="A380" t="s">
        <v>16</v>
      </c>
      <c r="B380" t="s">
        <v>17</v>
      </c>
      <c r="C380" t="s">
        <v>13</v>
      </c>
      <c r="D380" t="s">
        <v>26</v>
      </c>
      <c r="E380" t="s">
        <v>25</v>
      </c>
      <c r="F380">
        <v>96.98</v>
      </c>
      <c r="G380">
        <v>4</v>
      </c>
      <c r="H380">
        <v>19.396000000000001</v>
      </c>
      <c r="I380">
        <v>407.31599999999997</v>
      </c>
      <c r="J380" s="3">
        <v>43502</v>
      </c>
      <c r="K380">
        <v>9.4</v>
      </c>
      <c r="L380" t="str" cm="1">
        <f t="array" ref="L380">_xlfn.IFS(Sales[[#This Row],[Rating]]&gt;8,"Super",Sales[[#This Row],[Rating]]&gt;=5,"Good",Sales[[#This Row],[Rating]]&lt;5,"Average")</f>
        <v>Super</v>
      </c>
      <c r="M380">
        <f t="shared" si="15"/>
        <v>2</v>
      </c>
      <c r="N380" t="str">
        <f t="shared" si="17"/>
        <v>Feb</v>
      </c>
      <c r="O380">
        <f t="shared" si="16"/>
        <v>2019</v>
      </c>
    </row>
    <row r="381" spans="1:15" x14ac:dyDescent="0.3">
      <c r="A381" t="s">
        <v>22</v>
      </c>
      <c r="B381" t="s">
        <v>23</v>
      </c>
      <c r="C381" t="s">
        <v>18</v>
      </c>
      <c r="D381" t="s">
        <v>14</v>
      </c>
      <c r="E381" t="s">
        <v>19</v>
      </c>
      <c r="F381">
        <v>23.65</v>
      </c>
      <c r="G381">
        <v>4</v>
      </c>
      <c r="H381">
        <v>4.7300000000000004</v>
      </c>
      <c r="I381">
        <v>99.33</v>
      </c>
      <c r="J381" s="3">
        <v>43495</v>
      </c>
      <c r="K381">
        <v>4</v>
      </c>
      <c r="L381" t="str" cm="1">
        <f t="array" ref="L381">_xlfn.IFS(Sales[[#This Row],[Rating]]&gt;8,"Super",Sales[[#This Row],[Rating]]&gt;=5,"Good",Sales[[#This Row],[Rating]]&lt;5,"Average")</f>
        <v>Average</v>
      </c>
      <c r="M381">
        <f t="shared" si="15"/>
        <v>1</v>
      </c>
      <c r="N381" t="str">
        <f t="shared" si="17"/>
        <v>Feb</v>
      </c>
      <c r="O381">
        <f t="shared" si="16"/>
        <v>2019</v>
      </c>
    </row>
    <row r="382" spans="1:15" x14ac:dyDescent="0.3">
      <c r="A382" t="s">
        <v>11</v>
      </c>
      <c r="B382" t="s">
        <v>12</v>
      </c>
      <c r="C382" t="s">
        <v>13</v>
      </c>
      <c r="D382" t="s">
        <v>26</v>
      </c>
      <c r="E382" t="s">
        <v>21</v>
      </c>
      <c r="F382">
        <v>82.33</v>
      </c>
      <c r="G382">
        <v>4</v>
      </c>
      <c r="H382">
        <v>16.466000000000001</v>
      </c>
      <c r="I382">
        <v>345.786</v>
      </c>
      <c r="J382" s="3">
        <v>43476</v>
      </c>
      <c r="K382">
        <v>7.5</v>
      </c>
      <c r="L382" t="str" cm="1">
        <f t="array" ref="L382">_xlfn.IFS(Sales[[#This Row],[Rating]]&gt;8,"Super",Sales[[#This Row],[Rating]]&gt;=5,"Good",Sales[[#This Row],[Rating]]&lt;5,"Average")</f>
        <v>Good</v>
      </c>
      <c r="M382">
        <f t="shared" si="15"/>
        <v>1</v>
      </c>
      <c r="N382" t="str">
        <f t="shared" si="17"/>
        <v>Jan</v>
      </c>
      <c r="O382">
        <f t="shared" si="16"/>
        <v>2019</v>
      </c>
    </row>
    <row r="383" spans="1:15" x14ac:dyDescent="0.3">
      <c r="A383" t="s">
        <v>16</v>
      </c>
      <c r="B383" t="s">
        <v>17</v>
      </c>
      <c r="C383" t="s">
        <v>18</v>
      </c>
      <c r="D383" t="s">
        <v>14</v>
      </c>
      <c r="E383" t="s">
        <v>19</v>
      </c>
      <c r="F383">
        <v>26.61</v>
      </c>
      <c r="G383">
        <v>2</v>
      </c>
      <c r="H383">
        <v>2.661</v>
      </c>
      <c r="I383">
        <v>55.881</v>
      </c>
      <c r="J383" s="3">
        <v>43543</v>
      </c>
      <c r="K383">
        <v>4.2</v>
      </c>
      <c r="L383" t="str" cm="1">
        <f t="array" ref="L383">_xlfn.IFS(Sales[[#This Row],[Rating]]&gt;8,"Super",Sales[[#This Row],[Rating]]&gt;=5,"Good",Sales[[#This Row],[Rating]]&lt;5,"Average")</f>
        <v>Average</v>
      </c>
      <c r="M383">
        <f t="shared" si="15"/>
        <v>3</v>
      </c>
      <c r="N383" t="str">
        <f t="shared" si="17"/>
        <v>Jan</v>
      </c>
      <c r="O383">
        <f t="shared" si="16"/>
        <v>2019</v>
      </c>
    </row>
    <row r="384" spans="1:15" x14ac:dyDescent="0.3">
      <c r="A384" t="s">
        <v>22</v>
      </c>
      <c r="B384" t="s">
        <v>23</v>
      </c>
      <c r="C384" t="s">
        <v>18</v>
      </c>
      <c r="D384" t="s">
        <v>14</v>
      </c>
      <c r="E384" t="s">
        <v>24</v>
      </c>
      <c r="F384">
        <v>99.69</v>
      </c>
      <c r="G384">
        <v>5</v>
      </c>
      <c r="H384">
        <v>24.922499999999999</v>
      </c>
      <c r="I384">
        <v>523.37249999999995</v>
      </c>
      <c r="J384" s="3">
        <v>43479</v>
      </c>
      <c r="K384">
        <v>9.9</v>
      </c>
      <c r="L384" t="str" cm="1">
        <f t="array" ref="L384">_xlfn.IFS(Sales[[#This Row],[Rating]]&gt;8,"Super",Sales[[#This Row],[Rating]]&gt;=5,"Good",Sales[[#This Row],[Rating]]&lt;5,"Average")</f>
        <v>Super</v>
      </c>
      <c r="M384">
        <f t="shared" si="15"/>
        <v>1</v>
      </c>
      <c r="N384" t="str">
        <f t="shared" si="17"/>
        <v>Mar</v>
      </c>
      <c r="O384">
        <f t="shared" si="16"/>
        <v>2019</v>
      </c>
    </row>
    <row r="385" spans="1:15" x14ac:dyDescent="0.3">
      <c r="A385" t="s">
        <v>16</v>
      </c>
      <c r="B385" t="s">
        <v>17</v>
      </c>
      <c r="C385" t="s">
        <v>13</v>
      </c>
      <c r="D385" t="s">
        <v>14</v>
      </c>
      <c r="E385" t="s">
        <v>24</v>
      </c>
      <c r="F385">
        <v>74.89</v>
      </c>
      <c r="G385">
        <v>4</v>
      </c>
      <c r="H385">
        <v>14.978</v>
      </c>
      <c r="I385">
        <v>314.53800000000001</v>
      </c>
      <c r="J385" s="3">
        <v>43525</v>
      </c>
      <c r="K385">
        <v>4.2</v>
      </c>
      <c r="L385" t="str" cm="1">
        <f t="array" ref="L385">_xlfn.IFS(Sales[[#This Row],[Rating]]&gt;8,"Super",Sales[[#This Row],[Rating]]&gt;=5,"Good",Sales[[#This Row],[Rating]]&lt;5,"Average")</f>
        <v>Average</v>
      </c>
      <c r="M385">
        <f t="shared" si="15"/>
        <v>3</v>
      </c>
      <c r="N385" t="str">
        <f t="shared" si="17"/>
        <v>Jan</v>
      </c>
      <c r="O385">
        <f t="shared" si="16"/>
        <v>2019</v>
      </c>
    </row>
    <row r="386" spans="1:15" x14ac:dyDescent="0.3">
      <c r="A386" t="s">
        <v>11</v>
      </c>
      <c r="B386" t="s">
        <v>12</v>
      </c>
      <c r="C386" t="s">
        <v>18</v>
      </c>
      <c r="D386" t="s">
        <v>14</v>
      </c>
      <c r="E386" t="s">
        <v>24</v>
      </c>
      <c r="F386">
        <v>40.94</v>
      </c>
      <c r="G386">
        <v>5</v>
      </c>
      <c r="H386">
        <v>10.234999999999999</v>
      </c>
      <c r="I386">
        <v>214.935</v>
      </c>
      <c r="J386" s="3">
        <v>43471</v>
      </c>
      <c r="K386">
        <v>9.9</v>
      </c>
      <c r="L386" t="str" cm="1">
        <f t="array" ref="L386">_xlfn.IFS(Sales[[#This Row],[Rating]]&gt;8,"Super",Sales[[#This Row],[Rating]]&gt;=5,"Good",Sales[[#This Row],[Rating]]&lt;5,"Average")</f>
        <v>Super</v>
      </c>
      <c r="M386">
        <f t="shared" si="15"/>
        <v>1</v>
      </c>
      <c r="N386" t="str">
        <f t="shared" si="17"/>
        <v>Mar</v>
      </c>
      <c r="O386">
        <f t="shared" si="16"/>
        <v>2019</v>
      </c>
    </row>
    <row r="387" spans="1:15" x14ac:dyDescent="0.3">
      <c r="A387" t="s">
        <v>22</v>
      </c>
      <c r="B387" t="s">
        <v>23</v>
      </c>
      <c r="C387" t="s">
        <v>13</v>
      </c>
      <c r="D387" t="s">
        <v>26</v>
      </c>
      <c r="E387" t="s">
        <v>21</v>
      </c>
      <c r="F387">
        <v>75.819999999999993</v>
      </c>
      <c r="G387">
        <v>1</v>
      </c>
      <c r="H387">
        <v>3.7909999999999999</v>
      </c>
      <c r="I387">
        <v>79.611000000000004</v>
      </c>
      <c r="J387" s="3">
        <v>43496</v>
      </c>
      <c r="K387">
        <v>5.8</v>
      </c>
      <c r="L387" t="str" cm="1">
        <f t="array" ref="L387">_xlfn.IFS(Sales[[#This Row],[Rating]]&gt;8,"Super",Sales[[#This Row],[Rating]]&gt;=5,"Good",Sales[[#This Row],[Rating]]&lt;5,"Average")</f>
        <v>Good</v>
      </c>
      <c r="M387">
        <f t="shared" ref="M387:M450" si="18">MONTH(J387)</f>
        <v>1</v>
      </c>
      <c r="N387" t="str">
        <f t="shared" si="17"/>
        <v>Jan</v>
      </c>
      <c r="O387">
        <f t="shared" ref="O387:O450" si="19">YEAR(J387)</f>
        <v>2019</v>
      </c>
    </row>
    <row r="388" spans="1:15" x14ac:dyDescent="0.3">
      <c r="A388" t="s">
        <v>16</v>
      </c>
      <c r="B388" t="s">
        <v>17</v>
      </c>
      <c r="C388" t="s">
        <v>18</v>
      </c>
      <c r="D388" t="s">
        <v>26</v>
      </c>
      <c r="E388" t="s">
        <v>24</v>
      </c>
      <c r="F388">
        <v>46.77</v>
      </c>
      <c r="G388">
        <v>6</v>
      </c>
      <c r="H388">
        <v>14.031000000000001</v>
      </c>
      <c r="I388">
        <v>294.65100000000001</v>
      </c>
      <c r="J388" s="3">
        <v>43535</v>
      </c>
      <c r="K388">
        <v>6</v>
      </c>
      <c r="L388" t="str" cm="1">
        <f t="array" ref="L388">_xlfn.IFS(Sales[[#This Row],[Rating]]&gt;8,"Super",Sales[[#This Row],[Rating]]&gt;=5,"Good",Sales[[#This Row],[Rating]]&lt;5,"Average")</f>
        <v>Good</v>
      </c>
      <c r="M388">
        <f t="shared" si="18"/>
        <v>3</v>
      </c>
      <c r="N388" t="str">
        <f t="shared" ref="N388:N451" si="20">TEXT(J387,"MMM")</f>
        <v>Jan</v>
      </c>
      <c r="O388">
        <f t="shared" si="19"/>
        <v>2019</v>
      </c>
    </row>
    <row r="389" spans="1:15" x14ac:dyDescent="0.3">
      <c r="A389" t="s">
        <v>11</v>
      </c>
      <c r="B389" t="s">
        <v>12</v>
      </c>
      <c r="C389" t="s">
        <v>18</v>
      </c>
      <c r="D389" t="s">
        <v>14</v>
      </c>
      <c r="E389" t="s">
        <v>15</v>
      </c>
      <c r="F389">
        <v>32.32</v>
      </c>
      <c r="G389">
        <v>10</v>
      </c>
      <c r="H389">
        <v>16.16</v>
      </c>
      <c r="I389">
        <v>339.36</v>
      </c>
      <c r="J389" s="3">
        <v>43516</v>
      </c>
      <c r="K389">
        <v>10</v>
      </c>
      <c r="L389" t="str" cm="1">
        <f t="array" ref="L389">_xlfn.IFS(Sales[[#This Row],[Rating]]&gt;8,"Super",Sales[[#This Row],[Rating]]&gt;=5,"Good",Sales[[#This Row],[Rating]]&lt;5,"Average")</f>
        <v>Super</v>
      </c>
      <c r="M389">
        <f t="shared" si="18"/>
        <v>2</v>
      </c>
      <c r="N389" t="str">
        <f t="shared" si="20"/>
        <v>Mar</v>
      </c>
      <c r="O389">
        <f t="shared" si="19"/>
        <v>2019</v>
      </c>
    </row>
    <row r="390" spans="1:15" x14ac:dyDescent="0.3">
      <c r="A390" t="s">
        <v>16</v>
      </c>
      <c r="B390" t="s">
        <v>17</v>
      </c>
      <c r="C390" t="s">
        <v>13</v>
      </c>
      <c r="D390" t="s">
        <v>14</v>
      </c>
      <c r="E390" t="s">
        <v>25</v>
      </c>
      <c r="F390">
        <v>54.07</v>
      </c>
      <c r="G390">
        <v>9</v>
      </c>
      <c r="H390">
        <v>24.331499999999998</v>
      </c>
      <c r="I390">
        <v>510.9615</v>
      </c>
      <c r="J390" s="3">
        <v>43492</v>
      </c>
      <c r="K390">
        <v>9.5</v>
      </c>
      <c r="L390" t="str" cm="1">
        <f t="array" ref="L390">_xlfn.IFS(Sales[[#This Row],[Rating]]&gt;8,"Super",Sales[[#This Row],[Rating]]&gt;=5,"Good",Sales[[#This Row],[Rating]]&lt;5,"Average")</f>
        <v>Super</v>
      </c>
      <c r="M390">
        <f t="shared" si="18"/>
        <v>1</v>
      </c>
      <c r="N390" t="str">
        <f t="shared" si="20"/>
        <v>Feb</v>
      </c>
      <c r="O390">
        <f t="shared" si="19"/>
        <v>2019</v>
      </c>
    </row>
    <row r="391" spans="1:15" x14ac:dyDescent="0.3">
      <c r="A391" t="s">
        <v>22</v>
      </c>
      <c r="B391" t="s">
        <v>23</v>
      </c>
      <c r="C391" t="s">
        <v>18</v>
      </c>
      <c r="D391" t="s">
        <v>26</v>
      </c>
      <c r="E391" t="s">
        <v>24</v>
      </c>
      <c r="F391">
        <v>18.22</v>
      </c>
      <c r="G391">
        <v>7</v>
      </c>
      <c r="H391">
        <v>6.3769999999999998</v>
      </c>
      <c r="I391">
        <v>133.917</v>
      </c>
      <c r="J391" s="3">
        <v>43534</v>
      </c>
      <c r="K391">
        <v>6.6</v>
      </c>
      <c r="L391" t="str" cm="1">
        <f t="array" ref="L391">_xlfn.IFS(Sales[[#This Row],[Rating]]&gt;8,"Super",Sales[[#This Row],[Rating]]&gt;=5,"Good",Sales[[#This Row],[Rating]]&lt;5,"Average")</f>
        <v>Good</v>
      </c>
      <c r="M391">
        <f t="shared" si="18"/>
        <v>3</v>
      </c>
      <c r="N391" t="str">
        <f t="shared" si="20"/>
        <v>Jan</v>
      </c>
      <c r="O391">
        <f t="shared" si="19"/>
        <v>2019</v>
      </c>
    </row>
    <row r="392" spans="1:15" x14ac:dyDescent="0.3">
      <c r="A392" t="s">
        <v>16</v>
      </c>
      <c r="B392" t="s">
        <v>17</v>
      </c>
      <c r="C392" t="s">
        <v>13</v>
      </c>
      <c r="D392" t="s">
        <v>14</v>
      </c>
      <c r="E392" t="s">
        <v>25</v>
      </c>
      <c r="F392">
        <v>80.48</v>
      </c>
      <c r="G392">
        <v>3</v>
      </c>
      <c r="H392">
        <v>12.071999999999999</v>
      </c>
      <c r="I392">
        <v>253.512</v>
      </c>
      <c r="J392" s="3">
        <v>43511</v>
      </c>
      <c r="K392">
        <v>8.1</v>
      </c>
      <c r="L392" t="str" cm="1">
        <f t="array" ref="L392">_xlfn.IFS(Sales[[#This Row],[Rating]]&gt;8,"Super",Sales[[#This Row],[Rating]]&gt;=5,"Good",Sales[[#This Row],[Rating]]&lt;5,"Average")</f>
        <v>Super</v>
      </c>
      <c r="M392">
        <f t="shared" si="18"/>
        <v>2</v>
      </c>
      <c r="N392" t="str">
        <f t="shared" si="20"/>
        <v>Mar</v>
      </c>
      <c r="O392">
        <f t="shared" si="19"/>
        <v>2019</v>
      </c>
    </row>
    <row r="393" spans="1:15" x14ac:dyDescent="0.3">
      <c r="A393" t="s">
        <v>22</v>
      </c>
      <c r="B393" t="s">
        <v>23</v>
      </c>
      <c r="C393" t="s">
        <v>18</v>
      </c>
      <c r="D393" t="s">
        <v>14</v>
      </c>
      <c r="E393" t="s">
        <v>25</v>
      </c>
      <c r="F393">
        <v>37.950000000000003</v>
      </c>
      <c r="G393">
        <v>10</v>
      </c>
      <c r="H393">
        <v>18.975000000000001</v>
      </c>
      <c r="I393">
        <v>398.47500000000002</v>
      </c>
      <c r="J393" s="3">
        <v>43491</v>
      </c>
      <c r="K393">
        <v>9.6999999999999993</v>
      </c>
      <c r="L393" t="str" cm="1">
        <f t="array" ref="L393">_xlfn.IFS(Sales[[#This Row],[Rating]]&gt;8,"Super",Sales[[#This Row],[Rating]]&gt;=5,"Good",Sales[[#This Row],[Rating]]&lt;5,"Average")</f>
        <v>Super</v>
      </c>
      <c r="M393">
        <f t="shared" si="18"/>
        <v>1</v>
      </c>
      <c r="N393" t="str">
        <f t="shared" si="20"/>
        <v>Feb</v>
      </c>
      <c r="O393">
        <f t="shared" si="19"/>
        <v>2019</v>
      </c>
    </row>
    <row r="394" spans="1:15" x14ac:dyDescent="0.3">
      <c r="A394" t="s">
        <v>11</v>
      </c>
      <c r="B394" t="s">
        <v>12</v>
      </c>
      <c r="C394" t="s">
        <v>13</v>
      </c>
      <c r="D394" t="s">
        <v>26</v>
      </c>
      <c r="E394" t="s">
        <v>19</v>
      </c>
      <c r="F394">
        <v>76.819999999999993</v>
      </c>
      <c r="G394">
        <v>1</v>
      </c>
      <c r="H394">
        <v>3.8410000000000002</v>
      </c>
      <c r="I394">
        <v>80.661000000000001</v>
      </c>
      <c r="J394" s="3">
        <v>43509</v>
      </c>
      <c r="K394">
        <v>7.2</v>
      </c>
      <c r="L394" t="str" cm="1">
        <f t="array" ref="L394">_xlfn.IFS(Sales[[#This Row],[Rating]]&gt;8,"Super",Sales[[#This Row],[Rating]]&gt;=5,"Good",Sales[[#This Row],[Rating]]&lt;5,"Average")</f>
        <v>Good</v>
      </c>
      <c r="M394">
        <f t="shared" si="18"/>
        <v>2</v>
      </c>
      <c r="N394" t="str">
        <f t="shared" si="20"/>
        <v>Jan</v>
      </c>
      <c r="O394">
        <f t="shared" si="19"/>
        <v>2019</v>
      </c>
    </row>
    <row r="395" spans="1:15" x14ac:dyDescent="0.3">
      <c r="A395" t="s">
        <v>11</v>
      </c>
      <c r="B395" t="s">
        <v>12</v>
      </c>
      <c r="C395" t="s">
        <v>13</v>
      </c>
      <c r="D395" t="s">
        <v>14</v>
      </c>
      <c r="E395" t="s">
        <v>21</v>
      </c>
      <c r="F395">
        <v>52.26</v>
      </c>
      <c r="G395">
        <v>10</v>
      </c>
      <c r="H395">
        <v>26.13</v>
      </c>
      <c r="I395">
        <v>548.73</v>
      </c>
      <c r="J395" s="3">
        <v>43533</v>
      </c>
      <c r="K395">
        <v>6.2</v>
      </c>
      <c r="L395" t="str" cm="1">
        <f t="array" ref="L395">_xlfn.IFS(Sales[[#This Row],[Rating]]&gt;8,"Super",Sales[[#This Row],[Rating]]&gt;=5,"Good",Sales[[#This Row],[Rating]]&lt;5,"Average")</f>
        <v>Good</v>
      </c>
      <c r="M395">
        <f t="shared" si="18"/>
        <v>3</v>
      </c>
      <c r="N395" t="str">
        <f t="shared" si="20"/>
        <v>Feb</v>
      </c>
      <c r="O395">
        <f t="shared" si="19"/>
        <v>2019</v>
      </c>
    </row>
    <row r="396" spans="1:15" x14ac:dyDescent="0.3">
      <c r="A396" t="s">
        <v>11</v>
      </c>
      <c r="B396" t="s">
        <v>12</v>
      </c>
      <c r="C396" t="s">
        <v>18</v>
      </c>
      <c r="D396" t="s">
        <v>14</v>
      </c>
      <c r="E396" t="s">
        <v>15</v>
      </c>
      <c r="F396">
        <v>79.739999999999995</v>
      </c>
      <c r="G396">
        <v>1</v>
      </c>
      <c r="H396">
        <v>3.9870000000000001</v>
      </c>
      <c r="I396">
        <v>83.727000000000004</v>
      </c>
      <c r="J396" s="3">
        <v>43530</v>
      </c>
      <c r="K396">
        <v>7.3</v>
      </c>
      <c r="L396" t="str" cm="1">
        <f t="array" ref="L396">_xlfn.IFS(Sales[[#This Row],[Rating]]&gt;8,"Super",Sales[[#This Row],[Rating]]&gt;=5,"Good",Sales[[#This Row],[Rating]]&lt;5,"Average")</f>
        <v>Good</v>
      </c>
      <c r="M396">
        <f t="shared" si="18"/>
        <v>3</v>
      </c>
      <c r="N396" t="str">
        <f t="shared" si="20"/>
        <v>Mar</v>
      </c>
      <c r="O396">
        <f t="shared" si="19"/>
        <v>2019</v>
      </c>
    </row>
    <row r="397" spans="1:15" x14ac:dyDescent="0.3">
      <c r="A397" t="s">
        <v>11</v>
      </c>
      <c r="B397" t="s">
        <v>12</v>
      </c>
      <c r="C397" t="s">
        <v>18</v>
      </c>
      <c r="D397" t="s">
        <v>14</v>
      </c>
      <c r="E397" t="s">
        <v>15</v>
      </c>
      <c r="F397">
        <v>77.5</v>
      </c>
      <c r="G397">
        <v>5</v>
      </c>
      <c r="H397">
        <v>19.375</v>
      </c>
      <c r="I397">
        <v>406.875</v>
      </c>
      <c r="J397" s="3">
        <v>43489</v>
      </c>
      <c r="K397">
        <v>4.3</v>
      </c>
      <c r="L397" t="str" cm="1">
        <f t="array" ref="L397">_xlfn.IFS(Sales[[#This Row],[Rating]]&gt;8,"Super",Sales[[#This Row],[Rating]]&gt;=5,"Good",Sales[[#This Row],[Rating]]&lt;5,"Average")</f>
        <v>Average</v>
      </c>
      <c r="M397">
        <f t="shared" si="18"/>
        <v>1</v>
      </c>
      <c r="N397" t="str">
        <f t="shared" si="20"/>
        <v>Mar</v>
      </c>
      <c r="O397">
        <f t="shared" si="19"/>
        <v>2019</v>
      </c>
    </row>
    <row r="398" spans="1:15" x14ac:dyDescent="0.3">
      <c r="A398" t="s">
        <v>11</v>
      </c>
      <c r="B398" t="s">
        <v>12</v>
      </c>
      <c r="C398" t="s">
        <v>18</v>
      </c>
      <c r="D398" t="s">
        <v>14</v>
      </c>
      <c r="E398" t="s">
        <v>24</v>
      </c>
      <c r="F398">
        <v>54.27</v>
      </c>
      <c r="G398">
        <v>5</v>
      </c>
      <c r="H398">
        <v>13.567500000000001</v>
      </c>
      <c r="I398">
        <v>284.91750000000002</v>
      </c>
      <c r="J398" s="3">
        <v>43537</v>
      </c>
      <c r="K398">
        <v>4.5999999999999996</v>
      </c>
      <c r="L398" t="str" cm="1">
        <f t="array" ref="L398">_xlfn.IFS(Sales[[#This Row],[Rating]]&gt;8,"Super",Sales[[#This Row],[Rating]]&gt;=5,"Good",Sales[[#This Row],[Rating]]&lt;5,"Average")</f>
        <v>Average</v>
      </c>
      <c r="M398">
        <f t="shared" si="18"/>
        <v>3</v>
      </c>
      <c r="N398" t="str">
        <f t="shared" si="20"/>
        <v>Jan</v>
      </c>
      <c r="O398">
        <f t="shared" si="19"/>
        <v>2019</v>
      </c>
    </row>
    <row r="399" spans="1:15" x14ac:dyDescent="0.3">
      <c r="A399" t="s">
        <v>22</v>
      </c>
      <c r="B399" t="s">
        <v>23</v>
      </c>
      <c r="C399" t="s">
        <v>18</v>
      </c>
      <c r="D399" t="s">
        <v>26</v>
      </c>
      <c r="E399" t="s">
        <v>20</v>
      </c>
      <c r="F399">
        <v>13.59</v>
      </c>
      <c r="G399">
        <v>9</v>
      </c>
      <c r="H399">
        <v>6.1154999999999999</v>
      </c>
      <c r="I399">
        <v>128.4255</v>
      </c>
      <c r="J399" s="3">
        <v>43539</v>
      </c>
      <c r="K399">
        <v>5.8</v>
      </c>
      <c r="L399" t="str" cm="1">
        <f t="array" ref="L399">_xlfn.IFS(Sales[[#This Row],[Rating]]&gt;8,"Super",Sales[[#This Row],[Rating]]&gt;=5,"Good",Sales[[#This Row],[Rating]]&lt;5,"Average")</f>
        <v>Good</v>
      </c>
      <c r="M399">
        <f t="shared" si="18"/>
        <v>3</v>
      </c>
      <c r="N399" t="str">
        <f t="shared" si="20"/>
        <v>Mar</v>
      </c>
      <c r="O399">
        <f t="shared" si="19"/>
        <v>2019</v>
      </c>
    </row>
    <row r="400" spans="1:15" x14ac:dyDescent="0.3">
      <c r="A400" t="s">
        <v>22</v>
      </c>
      <c r="B400" t="s">
        <v>23</v>
      </c>
      <c r="C400" t="s">
        <v>13</v>
      </c>
      <c r="D400" t="s">
        <v>14</v>
      </c>
      <c r="E400" t="s">
        <v>15</v>
      </c>
      <c r="F400">
        <v>41.06</v>
      </c>
      <c r="G400">
        <v>6</v>
      </c>
      <c r="H400">
        <v>12.318</v>
      </c>
      <c r="I400">
        <v>258.678</v>
      </c>
      <c r="J400" s="3">
        <v>43529</v>
      </c>
      <c r="K400">
        <v>8.3000000000000007</v>
      </c>
      <c r="L400" t="str" cm="1">
        <f t="array" ref="L400">_xlfn.IFS(Sales[[#This Row],[Rating]]&gt;8,"Super",Sales[[#This Row],[Rating]]&gt;=5,"Good",Sales[[#This Row],[Rating]]&lt;5,"Average")</f>
        <v>Super</v>
      </c>
      <c r="M400">
        <f t="shared" si="18"/>
        <v>3</v>
      </c>
      <c r="N400" t="str">
        <f t="shared" si="20"/>
        <v>Mar</v>
      </c>
      <c r="O400">
        <f t="shared" si="19"/>
        <v>2019</v>
      </c>
    </row>
    <row r="401" spans="1:15" x14ac:dyDescent="0.3">
      <c r="A401" t="s">
        <v>22</v>
      </c>
      <c r="B401" t="s">
        <v>23</v>
      </c>
      <c r="C401" t="s">
        <v>13</v>
      </c>
      <c r="D401" t="s">
        <v>26</v>
      </c>
      <c r="E401" t="s">
        <v>19</v>
      </c>
      <c r="F401">
        <v>19.239999999999998</v>
      </c>
      <c r="G401">
        <v>9</v>
      </c>
      <c r="H401">
        <v>8.6579999999999995</v>
      </c>
      <c r="I401">
        <v>181.81800000000001</v>
      </c>
      <c r="J401" s="3">
        <v>43528</v>
      </c>
      <c r="K401">
        <v>8</v>
      </c>
      <c r="L401" t="str" cm="1">
        <f t="array" ref="L401">_xlfn.IFS(Sales[[#This Row],[Rating]]&gt;8,"Super",Sales[[#This Row],[Rating]]&gt;=5,"Good",Sales[[#This Row],[Rating]]&lt;5,"Average")</f>
        <v>Good</v>
      </c>
      <c r="M401">
        <f t="shared" si="18"/>
        <v>3</v>
      </c>
      <c r="N401" t="str">
        <f t="shared" si="20"/>
        <v>Mar</v>
      </c>
      <c r="O401">
        <f t="shared" si="19"/>
        <v>2019</v>
      </c>
    </row>
    <row r="402" spans="1:15" x14ac:dyDescent="0.3">
      <c r="A402" t="s">
        <v>16</v>
      </c>
      <c r="B402" t="s">
        <v>17</v>
      </c>
      <c r="C402" t="s">
        <v>18</v>
      </c>
      <c r="D402" t="s">
        <v>14</v>
      </c>
      <c r="E402" t="s">
        <v>24</v>
      </c>
      <c r="F402">
        <v>39.43</v>
      </c>
      <c r="G402">
        <v>6</v>
      </c>
      <c r="H402">
        <v>11.829000000000001</v>
      </c>
      <c r="I402">
        <v>248.40899999999999</v>
      </c>
      <c r="J402" s="3">
        <v>43549</v>
      </c>
      <c r="K402">
        <v>9.4</v>
      </c>
      <c r="L402" t="str" cm="1">
        <f t="array" ref="L402">_xlfn.IFS(Sales[[#This Row],[Rating]]&gt;8,"Super",Sales[[#This Row],[Rating]]&gt;=5,"Good",Sales[[#This Row],[Rating]]&lt;5,"Average")</f>
        <v>Super</v>
      </c>
      <c r="M402">
        <f t="shared" si="18"/>
        <v>3</v>
      </c>
      <c r="N402" t="str">
        <f t="shared" si="20"/>
        <v>Mar</v>
      </c>
      <c r="O402">
        <f t="shared" si="19"/>
        <v>2019</v>
      </c>
    </row>
    <row r="403" spans="1:15" x14ac:dyDescent="0.3">
      <c r="A403" t="s">
        <v>16</v>
      </c>
      <c r="B403" t="s">
        <v>17</v>
      </c>
      <c r="C403" t="s">
        <v>18</v>
      </c>
      <c r="D403" t="s">
        <v>26</v>
      </c>
      <c r="E403" t="s">
        <v>20</v>
      </c>
      <c r="F403">
        <v>46.22</v>
      </c>
      <c r="G403">
        <v>4</v>
      </c>
      <c r="H403">
        <v>9.2439999999999998</v>
      </c>
      <c r="I403">
        <v>194.124</v>
      </c>
      <c r="J403" s="3">
        <v>43536</v>
      </c>
      <c r="K403">
        <v>6.2</v>
      </c>
      <c r="L403" t="str" cm="1">
        <f t="array" ref="L403">_xlfn.IFS(Sales[[#This Row],[Rating]]&gt;8,"Super",Sales[[#This Row],[Rating]]&gt;=5,"Good",Sales[[#This Row],[Rating]]&lt;5,"Average")</f>
        <v>Good</v>
      </c>
      <c r="M403">
        <f t="shared" si="18"/>
        <v>3</v>
      </c>
      <c r="N403" t="str">
        <f t="shared" si="20"/>
        <v>Mar</v>
      </c>
      <c r="O403">
        <f t="shared" si="19"/>
        <v>2019</v>
      </c>
    </row>
    <row r="404" spans="1:15" x14ac:dyDescent="0.3">
      <c r="A404" t="s">
        <v>16</v>
      </c>
      <c r="B404" t="s">
        <v>17</v>
      </c>
      <c r="C404" t="s">
        <v>13</v>
      </c>
      <c r="D404" t="s">
        <v>26</v>
      </c>
      <c r="E404" t="s">
        <v>20</v>
      </c>
      <c r="F404">
        <v>13.98</v>
      </c>
      <c r="G404">
        <v>1</v>
      </c>
      <c r="H404">
        <v>0.69899999999999995</v>
      </c>
      <c r="I404">
        <v>14.679</v>
      </c>
      <c r="J404" s="3">
        <v>43500</v>
      </c>
      <c r="K404">
        <v>9.8000000000000007</v>
      </c>
      <c r="L404" t="str" cm="1">
        <f t="array" ref="L404">_xlfn.IFS(Sales[[#This Row],[Rating]]&gt;8,"Super",Sales[[#This Row],[Rating]]&gt;=5,"Good",Sales[[#This Row],[Rating]]&lt;5,"Average")</f>
        <v>Super</v>
      </c>
      <c r="M404">
        <f t="shared" si="18"/>
        <v>2</v>
      </c>
      <c r="N404" t="str">
        <f t="shared" si="20"/>
        <v>Mar</v>
      </c>
      <c r="O404">
        <f t="shared" si="19"/>
        <v>2019</v>
      </c>
    </row>
    <row r="405" spans="1:15" x14ac:dyDescent="0.3">
      <c r="A405" t="s">
        <v>22</v>
      </c>
      <c r="B405" t="s">
        <v>23</v>
      </c>
      <c r="C405" t="s">
        <v>18</v>
      </c>
      <c r="D405" t="s">
        <v>14</v>
      </c>
      <c r="E405" t="s">
        <v>25</v>
      </c>
      <c r="F405">
        <v>39.75</v>
      </c>
      <c r="G405">
        <v>5</v>
      </c>
      <c r="H405">
        <v>9.9375</v>
      </c>
      <c r="I405">
        <v>208.6875</v>
      </c>
      <c r="J405" s="3">
        <v>43518</v>
      </c>
      <c r="K405">
        <v>9.6</v>
      </c>
      <c r="L405" t="str" cm="1">
        <f t="array" ref="L405">_xlfn.IFS(Sales[[#This Row],[Rating]]&gt;8,"Super",Sales[[#This Row],[Rating]]&gt;=5,"Good",Sales[[#This Row],[Rating]]&lt;5,"Average")</f>
        <v>Super</v>
      </c>
      <c r="M405">
        <f t="shared" si="18"/>
        <v>2</v>
      </c>
      <c r="N405" t="str">
        <f t="shared" si="20"/>
        <v>Feb</v>
      </c>
      <c r="O405">
        <f t="shared" si="19"/>
        <v>2019</v>
      </c>
    </row>
    <row r="406" spans="1:15" x14ac:dyDescent="0.3">
      <c r="A406" t="s">
        <v>16</v>
      </c>
      <c r="B406" t="s">
        <v>17</v>
      </c>
      <c r="C406" t="s">
        <v>13</v>
      </c>
      <c r="D406" t="s">
        <v>14</v>
      </c>
      <c r="E406" t="s">
        <v>25</v>
      </c>
      <c r="F406">
        <v>97.79</v>
      </c>
      <c r="G406">
        <v>7</v>
      </c>
      <c r="H406">
        <v>34.226500000000001</v>
      </c>
      <c r="I406">
        <v>718.75649999999996</v>
      </c>
      <c r="J406" s="3">
        <v>43512</v>
      </c>
      <c r="K406">
        <v>4.9000000000000004</v>
      </c>
      <c r="L406" t="str" cm="1">
        <f t="array" ref="L406">_xlfn.IFS(Sales[[#This Row],[Rating]]&gt;8,"Super",Sales[[#This Row],[Rating]]&gt;=5,"Good",Sales[[#This Row],[Rating]]&lt;5,"Average")</f>
        <v>Average</v>
      </c>
      <c r="M406">
        <f t="shared" si="18"/>
        <v>2</v>
      </c>
      <c r="N406" t="str">
        <f t="shared" si="20"/>
        <v>Feb</v>
      </c>
      <c r="O406">
        <f t="shared" si="19"/>
        <v>2019</v>
      </c>
    </row>
    <row r="407" spans="1:15" x14ac:dyDescent="0.3">
      <c r="A407" t="s">
        <v>11</v>
      </c>
      <c r="B407" t="s">
        <v>12</v>
      </c>
      <c r="C407" t="s">
        <v>13</v>
      </c>
      <c r="D407" t="s">
        <v>26</v>
      </c>
      <c r="E407" t="s">
        <v>21</v>
      </c>
      <c r="F407">
        <v>67.260000000000005</v>
      </c>
      <c r="G407">
        <v>4</v>
      </c>
      <c r="H407">
        <v>13.452</v>
      </c>
      <c r="I407">
        <v>282.49200000000002</v>
      </c>
      <c r="J407" s="3">
        <v>43484</v>
      </c>
      <c r="K407">
        <v>8</v>
      </c>
      <c r="L407" t="str" cm="1">
        <f t="array" ref="L407">_xlfn.IFS(Sales[[#This Row],[Rating]]&gt;8,"Super",Sales[[#This Row],[Rating]]&gt;=5,"Good",Sales[[#This Row],[Rating]]&lt;5,"Average")</f>
        <v>Good</v>
      </c>
      <c r="M407">
        <f t="shared" si="18"/>
        <v>1</v>
      </c>
      <c r="N407" t="str">
        <f t="shared" si="20"/>
        <v>Feb</v>
      </c>
      <c r="O407">
        <f t="shared" si="19"/>
        <v>2019</v>
      </c>
    </row>
    <row r="408" spans="1:15" x14ac:dyDescent="0.3">
      <c r="A408" t="s">
        <v>11</v>
      </c>
      <c r="B408" t="s">
        <v>12</v>
      </c>
      <c r="C408" t="s">
        <v>18</v>
      </c>
      <c r="D408" t="s">
        <v>26</v>
      </c>
      <c r="E408" t="s">
        <v>24</v>
      </c>
      <c r="F408">
        <v>13.79</v>
      </c>
      <c r="G408">
        <v>5</v>
      </c>
      <c r="H408">
        <v>3.4474999999999998</v>
      </c>
      <c r="I408">
        <v>72.397499999999994</v>
      </c>
      <c r="J408" s="3">
        <v>43476</v>
      </c>
      <c r="K408">
        <v>7.8</v>
      </c>
      <c r="L408" t="str" cm="1">
        <f t="array" ref="L408">_xlfn.IFS(Sales[[#This Row],[Rating]]&gt;8,"Super",Sales[[#This Row],[Rating]]&gt;=5,"Good",Sales[[#This Row],[Rating]]&lt;5,"Average")</f>
        <v>Good</v>
      </c>
      <c r="M408">
        <f t="shared" si="18"/>
        <v>1</v>
      </c>
      <c r="N408" t="str">
        <f t="shared" si="20"/>
        <v>Jan</v>
      </c>
      <c r="O408">
        <f t="shared" si="19"/>
        <v>2019</v>
      </c>
    </row>
    <row r="409" spans="1:15" x14ac:dyDescent="0.3">
      <c r="A409" t="s">
        <v>22</v>
      </c>
      <c r="B409" t="s">
        <v>23</v>
      </c>
      <c r="C409" t="s">
        <v>13</v>
      </c>
      <c r="D409" t="s">
        <v>14</v>
      </c>
      <c r="E409" t="s">
        <v>25</v>
      </c>
      <c r="F409">
        <v>68.709999999999994</v>
      </c>
      <c r="G409">
        <v>4</v>
      </c>
      <c r="H409">
        <v>13.742000000000001</v>
      </c>
      <c r="I409">
        <v>288.58199999999999</v>
      </c>
      <c r="J409" s="3">
        <v>43469</v>
      </c>
      <c r="K409">
        <v>4.0999999999999996</v>
      </c>
      <c r="L409" t="str" cm="1">
        <f t="array" ref="L409">_xlfn.IFS(Sales[[#This Row],[Rating]]&gt;8,"Super",Sales[[#This Row],[Rating]]&gt;=5,"Good",Sales[[#This Row],[Rating]]&lt;5,"Average")</f>
        <v>Average</v>
      </c>
      <c r="M409">
        <f t="shared" si="18"/>
        <v>1</v>
      </c>
      <c r="N409" t="str">
        <f t="shared" si="20"/>
        <v>Jan</v>
      </c>
      <c r="O409">
        <f t="shared" si="19"/>
        <v>2019</v>
      </c>
    </row>
    <row r="410" spans="1:15" x14ac:dyDescent="0.3">
      <c r="A410" t="s">
        <v>11</v>
      </c>
      <c r="B410" t="s">
        <v>12</v>
      </c>
      <c r="C410" t="s">
        <v>18</v>
      </c>
      <c r="D410" t="s">
        <v>14</v>
      </c>
      <c r="E410" t="s">
        <v>20</v>
      </c>
      <c r="F410">
        <v>56.53</v>
      </c>
      <c r="G410">
        <v>4</v>
      </c>
      <c r="H410">
        <v>11.305999999999999</v>
      </c>
      <c r="I410">
        <v>237.42599999999999</v>
      </c>
      <c r="J410" s="3">
        <v>43528</v>
      </c>
      <c r="K410">
        <v>5.5</v>
      </c>
      <c r="L410" t="str" cm="1">
        <f t="array" ref="L410">_xlfn.IFS(Sales[[#This Row],[Rating]]&gt;8,"Super",Sales[[#This Row],[Rating]]&gt;=5,"Good",Sales[[#This Row],[Rating]]&lt;5,"Average")</f>
        <v>Good</v>
      </c>
      <c r="M410">
        <f t="shared" si="18"/>
        <v>3</v>
      </c>
      <c r="N410" t="str">
        <f t="shared" si="20"/>
        <v>Jan</v>
      </c>
      <c r="O410">
        <f t="shared" si="19"/>
        <v>2019</v>
      </c>
    </row>
    <row r="411" spans="1:15" x14ac:dyDescent="0.3">
      <c r="A411" t="s">
        <v>16</v>
      </c>
      <c r="B411" t="s">
        <v>17</v>
      </c>
      <c r="C411" t="s">
        <v>18</v>
      </c>
      <c r="D411" t="s">
        <v>14</v>
      </c>
      <c r="E411" t="s">
        <v>25</v>
      </c>
      <c r="F411">
        <v>23.82</v>
      </c>
      <c r="G411">
        <v>5</v>
      </c>
      <c r="H411">
        <v>5.9550000000000001</v>
      </c>
      <c r="I411">
        <v>125.05500000000001</v>
      </c>
      <c r="J411" s="3">
        <v>43493</v>
      </c>
      <c r="K411">
        <v>5.4</v>
      </c>
      <c r="L411" t="str" cm="1">
        <f t="array" ref="L411">_xlfn.IFS(Sales[[#This Row],[Rating]]&gt;8,"Super",Sales[[#This Row],[Rating]]&gt;=5,"Good",Sales[[#This Row],[Rating]]&lt;5,"Average")</f>
        <v>Good</v>
      </c>
      <c r="M411">
        <f t="shared" si="18"/>
        <v>1</v>
      </c>
      <c r="N411" t="str">
        <f t="shared" si="20"/>
        <v>Mar</v>
      </c>
      <c r="O411">
        <f t="shared" si="19"/>
        <v>2019</v>
      </c>
    </row>
    <row r="412" spans="1:15" x14ac:dyDescent="0.3">
      <c r="A412" t="s">
        <v>22</v>
      </c>
      <c r="B412" t="s">
        <v>23</v>
      </c>
      <c r="C412" t="s">
        <v>18</v>
      </c>
      <c r="D412" t="s">
        <v>14</v>
      </c>
      <c r="E412" t="s">
        <v>15</v>
      </c>
      <c r="F412">
        <v>34.21</v>
      </c>
      <c r="G412">
        <v>10</v>
      </c>
      <c r="H412">
        <v>17.105</v>
      </c>
      <c r="I412">
        <v>359.20499999999998</v>
      </c>
      <c r="J412" s="3">
        <v>43467</v>
      </c>
      <c r="K412">
        <v>5.0999999999999996</v>
      </c>
      <c r="L412" t="str" cm="1">
        <f t="array" ref="L412">_xlfn.IFS(Sales[[#This Row],[Rating]]&gt;8,"Super",Sales[[#This Row],[Rating]]&gt;=5,"Good",Sales[[#This Row],[Rating]]&lt;5,"Average")</f>
        <v>Good</v>
      </c>
      <c r="M412">
        <f t="shared" si="18"/>
        <v>1</v>
      </c>
      <c r="N412" t="str">
        <f t="shared" si="20"/>
        <v>Jan</v>
      </c>
      <c r="O412">
        <f t="shared" si="19"/>
        <v>2019</v>
      </c>
    </row>
    <row r="413" spans="1:15" x14ac:dyDescent="0.3">
      <c r="A413" t="s">
        <v>22</v>
      </c>
      <c r="B413" t="s">
        <v>23</v>
      </c>
      <c r="C413" t="s">
        <v>18</v>
      </c>
      <c r="D413" t="s">
        <v>26</v>
      </c>
      <c r="E413" t="s">
        <v>21</v>
      </c>
      <c r="F413">
        <v>21.87</v>
      </c>
      <c r="G413">
        <v>2</v>
      </c>
      <c r="H413">
        <v>2.1869999999999998</v>
      </c>
      <c r="I413">
        <v>45.927</v>
      </c>
      <c r="J413" s="3">
        <v>43490</v>
      </c>
      <c r="K413">
        <v>6.9</v>
      </c>
      <c r="L413" t="str" cm="1">
        <f t="array" ref="L413">_xlfn.IFS(Sales[[#This Row],[Rating]]&gt;8,"Super",Sales[[#This Row],[Rating]]&gt;=5,"Good",Sales[[#This Row],[Rating]]&lt;5,"Average")</f>
        <v>Good</v>
      </c>
      <c r="M413">
        <f t="shared" si="18"/>
        <v>1</v>
      </c>
      <c r="N413" t="str">
        <f t="shared" si="20"/>
        <v>Jan</v>
      </c>
      <c r="O413">
        <f t="shared" si="19"/>
        <v>2019</v>
      </c>
    </row>
    <row r="414" spans="1:15" x14ac:dyDescent="0.3">
      <c r="A414" t="s">
        <v>11</v>
      </c>
      <c r="B414" t="s">
        <v>12</v>
      </c>
      <c r="C414" t="s">
        <v>13</v>
      </c>
      <c r="D414" t="s">
        <v>26</v>
      </c>
      <c r="E414" t="s">
        <v>15</v>
      </c>
      <c r="F414">
        <v>20.97</v>
      </c>
      <c r="G414">
        <v>5</v>
      </c>
      <c r="H414">
        <v>5.2424999999999997</v>
      </c>
      <c r="I414">
        <v>110.0925</v>
      </c>
      <c r="J414" s="3">
        <v>43469</v>
      </c>
      <c r="K414">
        <v>7.8</v>
      </c>
      <c r="L414" t="str" cm="1">
        <f t="array" ref="L414">_xlfn.IFS(Sales[[#This Row],[Rating]]&gt;8,"Super",Sales[[#This Row],[Rating]]&gt;=5,"Good",Sales[[#This Row],[Rating]]&lt;5,"Average")</f>
        <v>Good</v>
      </c>
      <c r="M414">
        <f t="shared" si="18"/>
        <v>1</v>
      </c>
      <c r="N414" t="str">
        <f t="shared" si="20"/>
        <v>Jan</v>
      </c>
      <c r="O414">
        <f t="shared" si="19"/>
        <v>2019</v>
      </c>
    </row>
    <row r="415" spans="1:15" x14ac:dyDescent="0.3">
      <c r="A415" t="s">
        <v>11</v>
      </c>
      <c r="B415" t="s">
        <v>12</v>
      </c>
      <c r="C415" t="s">
        <v>18</v>
      </c>
      <c r="D415" t="s">
        <v>26</v>
      </c>
      <c r="E415" t="s">
        <v>21</v>
      </c>
      <c r="F415">
        <v>25.84</v>
      </c>
      <c r="G415">
        <v>3</v>
      </c>
      <c r="H415">
        <v>3.8759999999999999</v>
      </c>
      <c r="I415">
        <v>81.396000000000001</v>
      </c>
      <c r="J415" s="3">
        <v>43534</v>
      </c>
      <c r="K415">
        <v>6.6</v>
      </c>
      <c r="L415" t="str" cm="1">
        <f t="array" ref="L415">_xlfn.IFS(Sales[[#This Row],[Rating]]&gt;8,"Super",Sales[[#This Row],[Rating]]&gt;=5,"Good",Sales[[#This Row],[Rating]]&lt;5,"Average")</f>
        <v>Good</v>
      </c>
      <c r="M415">
        <f t="shared" si="18"/>
        <v>3</v>
      </c>
      <c r="N415" t="str">
        <f t="shared" si="20"/>
        <v>Jan</v>
      </c>
      <c r="O415">
        <f t="shared" si="19"/>
        <v>2019</v>
      </c>
    </row>
    <row r="416" spans="1:15" x14ac:dyDescent="0.3">
      <c r="A416" t="s">
        <v>11</v>
      </c>
      <c r="B416" t="s">
        <v>12</v>
      </c>
      <c r="C416" t="s">
        <v>18</v>
      </c>
      <c r="D416" t="s">
        <v>26</v>
      </c>
      <c r="E416" t="s">
        <v>20</v>
      </c>
      <c r="F416">
        <v>50.93</v>
      </c>
      <c r="G416">
        <v>8</v>
      </c>
      <c r="H416">
        <v>20.372</v>
      </c>
      <c r="I416">
        <v>427.81200000000001</v>
      </c>
      <c r="J416" s="3">
        <v>43546</v>
      </c>
      <c r="K416">
        <v>9.1999999999999993</v>
      </c>
      <c r="L416" t="str" cm="1">
        <f t="array" ref="L416">_xlfn.IFS(Sales[[#This Row],[Rating]]&gt;8,"Super",Sales[[#This Row],[Rating]]&gt;=5,"Good",Sales[[#This Row],[Rating]]&lt;5,"Average")</f>
        <v>Super</v>
      </c>
      <c r="M416">
        <f t="shared" si="18"/>
        <v>3</v>
      </c>
      <c r="N416" t="str">
        <f t="shared" si="20"/>
        <v>Mar</v>
      </c>
      <c r="O416">
        <f t="shared" si="19"/>
        <v>2019</v>
      </c>
    </row>
    <row r="417" spans="1:15" x14ac:dyDescent="0.3">
      <c r="A417" t="s">
        <v>22</v>
      </c>
      <c r="B417" t="s">
        <v>23</v>
      </c>
      <c r="C417" t="s">
        <v>18</v>
      </c>
      <c r="D417" t="s">
        <v>26</v>
      </c>
      <c r="E417" t="s">
        <v>15</v>
      </c>
      <c r="F417">
        <v>96.11</v>
      </c>
      <c r="G417">
        <v>1</v>
      </c>
      <c r="H417">
        <v>4.8055000000000003</v>
      </c>
      <c r="I417">
        <v>100.91549999999999</v>
      </c>
      <c r="J417" s="3">
        <v>43490</v>
      </c>
      <c r="K417">
        <v>7.8</v>
      </c>
      <c r="L417" t="str" cm="1">
        <f t="array" ref="L417">_xlfn.IFS(Sales[[#This Row],[Rating]]&gt;8,"Super",Sales[[#This Row],[Rating]]&gt;=5,"Good",Sales[[#This Row],[Rating]]&lt;5,"Average")</f>
        <v>Good</v>
      </c>
      <c r="M417">
        <f t="shared" si="18"/>
        <v>1</v>
      </c>
      <c r="N417" t="str">
        <f t="shared" si="20"/>
        <v>Mar</v>
      </c>
      <c r="O417">
        <f t="shared" si="19"/>
        <v>2019</v>
      </c>
    </row>
    <row r="418" spans="1:15" x14ac:dyDescent="0.3">
      <c r="A418" t="s">
        <v>16</v>
      </c>
      <c r="B418" t="s">
        <v>17</v>
      </c>
      <c r="C418" t="s">
        <v>18</v>
      </c>
      <c r="D418" t="s">
        <v>14</v>
      </c>
      <c r="E418" t="s">
        <v>20</v>
      </c>
      <c r="F418">
        <v>45.38</v>
      </c>
      <c r="G418">
        <v>4</v>
      </c>
      <c r="H418">
        <v>9.0760000000000005</v>
      </c>
      <c r="I418">
        <v>190.596</v>
      </c>
      <c r="J418" s="3">
        <v>43473</v>
      </c>
      <c r="K418">
        <v>8.6999999999999993</v>
      </c>
      <c r="L418" t="str" cm="1">
        <f t="array" ref="L418">_xlfn.IFS(Sales[[#This Row],[Rating]]&gt;8,"Super",Sales[[#This Row],[Rating]]&gt;=5,"Good",Sales[[#This Row],[Rating]]&lt;5,"Average")</f>
        <v>Super</v>
      </c>
      <c r="M418">
        <f t="shared" si="18"/>
        <v>1</v>
      </c>
      <c r="N418" t="str">
        <f t="shared" si="20"/>
        <v>Jan</v>
      </c>
      <c r="O418">
        <f t="shared" si="19"/>
        <v>2019</v>
      </c>
    </row>
    <row r="419" spans="1:15" x14ac:dyDescent="0.3">
      <c r="A419" t="s">
        <v>16</v>
      </c>
      <c r="B419" t="s">
        <v>17</v>
      </c>
      <c r="C419" t="s">
        <v>13</v>
      </c>
      <c r="D419" t="s">
        <v>14</v>
      </c>
      <c r="E419" t="s">
        <v>15</v>
      </c>
      <c r="F419">
        <v>81.510000000000005</v>
      </c>
      <c r="G419">
        <v>1</v>
      </c>
      <c r="H419">
        <v>4.0754999999999999</v>
      </c>
      <c r="I419">
        <v>85.585499999999996</v>
      </c>
      <c r="J419" s="3">
        <v>43487</v>
      </c>
      <c r="K419">
        <v>9.1999999999999993</v>
      </c>
      <c r="L419" t="str" cm="1">
        <f t="array" ref="L419">_xlfn.IFS(Sales[[#This Row],[Rating]]&gt;8,"Super",Sales[[#This Row],[Rating]]&gt;=5,"Good",Sales[[#This Row],[Rating]]&lt;5,"Average")</f>
        <v>Super</v>
      </c>
      <c r="M419">
        <f t="shared" si="18"/>
        <v>1</v>
      </c>
      <c r="N419" t="str">
        <f t="shared" si="20"/>
        <v>Jan</v>
      </c>
      <c r="O419">
        <f t="shared" si="19"/>
        <v>2019</v>
      </c>
    </row>
    <row r="420" spans="1:15" x14ac:dyDescent="0.3">
      <c r="A420" t="s">
        <v>22</v>
      </c>
      <c r="B420" t="s">
        <v>23</v>
      </c>
      <c r="C420" t="s">
        <v>18</v>
      </c>
      <c r="D420" t="s">
        <v>14</v>
      </c>
      <c r="E420" t="s">
        <v>15</v>
      </c>
      <c r="F420">
        <v>57.22</v>
      </c>
      <c r="G420">
        <v>2</v>
      </c>
      <c r="H420">
        <v>5.7220000000000004</v>
      </c>
      <c r="I420">
        <v>120.16200000000001</v>
      </c>
      <c r="J420" s="3">
        <v>43477</v>
      </c>
      <c r="K420">
        <v>8.3000000000000007</v>
      </c>
      <c r="L420" t="str" cm="1">
        <f t="array" ref="L420">_xlfn.IFS(Sales[[#This Row],[Rating]]&gt;8,"Super",Sales[[#This Row],[Rating]]&gt;=5,"Good",Sales[[#This Row],[Rating]]&lt;5,"Average")</f>
        <v>Super</v>
      </c>
      <c r="M420">
        <f t="shared" si="18"/>
        <v>1</v>
      </c>
      <c r="N420" t="str">
        <f t="shared" si="20"/>
        <v>Jan</v>
      </c>
      <c r="O420">
        <f t="shared" si="19"/>
        <v>2019</v>
      </c>
    </row>
    <row r="421" spans="1:15" x14ac:dyDescent="0.3">
      <c r="A421" t="s">
        <v>11</v>
      </c>
      <c r="B421" t="s">
        <v>12</v>
      </c>
      <c r="C421" t="s">
        <v>13</v>
      </c>
      <c r="D421" t="s">
        <v>14</v>
      </c>
      <c r="E421" t="s">
        <v>19</v>
      </c>
      <c r="F421">
        <v>25.22</v>
      </c>
      <c r="G421">
        <v>7</v>
      </c>
      <c r="H421">
        <v>8.827</v>
      </c>
      <c r="I421">
        <v>185.36699999999999</v>
      </c>
      <c r="J421" s="3">
        <v>43500</v>
      </c>
      <c r="K421">
        <v>8.1999999999999993</v>
      </c>
      <c r="L421" t="str" cm="1">
        <f t="array" ref="L421">_xlfn.IFS(Sales[[#This Row],[Rating]]&gt;8,"Super",Sales[[#This Row],[Rating]]&gt;=5,"Good",Sales[[#This Row],[Rating]]&lt;5,"Average")</f>
        <v>Super</v>
      </c>
      <c r="M421">
        <f t="shared" si="18"/>
        <v>2</v>
      </c>
      <c r="N421" t="str">
        <f t="shared" si="20"/>
        <v>Jan</v>
      </c>
      <c r="O421">
        <f t="shared" si="19"/>
        <v>2019</v>
      </c>
    </row>
    <row r="422" spans="1:15" x14ac:dyDescent="0.3">
      <c r="A422" t="s">
        <v>16</v>
      </c>
      <c r="B422" t="s">
        <v>17</v>
      </c>
      <c r="C422" t="s">
        <v>13</v>
      </c>
      <c r="D422" t="s">
        <v>14</v>
      </c>
      <c r="E422" t="s">
        <v>24</v>
      </c>
      <c r="F422">
        <v>38.6</v>
      </c>
      <c r="G422">
        <v>3</v>
      </c>
      <c r="H422">
        <v>5.79</v>
      </c>
      <c r="I422">
        <v>121.59</v>
      </c>
      <c r="J422" s="3">
        <v>43552</v>
      </c>
      <c r="K422">
        <v>7.5</v>
      </c>
      <c r="L422" t="str" cm="1">
        <f t="array" ref="L422">_xlfn.IFS(Sales[[#This Row],[Rating]]&gt;8,"Super",Sales[[#This Row],[Rating]]&gt;=5,"Good",Sales[[#This Row],[Rating]]&lt;5,"Average")</f>
        <v>Good</v>
      </c>
      <c r="M422">
        <f t="shared" si="18"/>
        <v>3</v>
      </c>
      <c r="N422" t="str">
        <f t="shared" si="20"/>
        <v>Feb</v>
      </c>
      <c r="O422">
        <f t="shared" si="19"/>
        <v>2019</v>
      </c>
    </row>
    <row r="423" spans="1:15" x14ac:dyDescent="0.3">
      <c r="A423" t="s">
        <v>16</v>
      </c>
      <c r="B423" t="s">
        <v>17</v>
      </c>
      <c r="C423" t="s">
        <v>18</v>
      </c>
      <c r="D423" t="s">
        <v>14</v>
      </c>
      <c r="E423" t="s">
        <v>19</v>
      </c>
      <c r="F423">
        <v>84.05</v>
      </c>
      <c r="G423">
        <v>3</v>
      </c>
      <c r="H423">
        <v>12.6075</v>
      </c>
      <c r="I423">
        <v>264.75749999999999</v>
      </c>
      <c r="J423" s="3">
        <v>43488</v>
      </c>
      <c r="K423">
        <v>9.8000000000000007</v>
      </c>
      <c r="L423" t="str" cm="1">
        <f t="array" ref="L423">_xlfn.IFS(Sales[[#This Row],[Rating]]&gt;8,"Super",Sales[[#This Row],[Rating]]&gt;=5,"Good",Sales[[#This Row],[Rating]]&lt;5,"Average")</f>
        <v>Super</v>
      </c>
      <c r="M423">
        <f t="shared" si="18"/>
        <v>1</v>
      </c>
      <c r="N423" t="str">
        <f t="shared" si="20"/>
        <v>Mar</v>
      </c>
      <c r="O423">
        <f t="shared" si="19"/>
        <v>2019</v>
      </c>
    </row>
    <row r="424" spans="1:15" x14ac:dyDescent="0.3">
      <c r="A424" t="s">
        <v>16</v>
      </c>
      <c r="B424" t="s">
        <v>17</v>
      </c>
      <c r="C424" t="s">
        <v>13</v>
      </c>
      <c r="D424" t="s">
        <v>14</v>
      </c>
      <c r="E424" t="s">
        <v>25</v>
      </c>
      <c r="F424">
        <v>97.21</v>
      </c>
      <c r="G424">
        <v>10</v>
      </c>
      <c r="H424">
        <v>48.604999999999997</v>
      </c>
      <c r="I424">
        <v>1020.705</v>
      </c>
      <c r="J424" s="3">
        <v>43504</v>
      </c>
      <c r="K424">
        <v>8.6999999999999993</v>
      </c>
      <c r="L424" t="str" cm="1">
        <f t="array" ref="L424">_xlfn.IFS(Sales[[#This Row],[Rating]]&gt;8,"Super",Sales[[#This Row],[Rating]]&gt;=5,"Good",Sales[[#This Row],[Rating]]&lt;5,"Average")</f>
        <v>Super</v>
      </c>
      <c r="M424">
        <f t="shared" si="18"/>
        <v>2</v>
      </c>
      <c r="N424" t="str">
        <f t="shared" si="20"/>
        <v>Jan</v>
      </c>
      <c r="O424">
        <f t="shared" si="19"/>
        <v>2019</v>
      </c>
    </row>
    <row r="425" spans="1:15" x14ac:dyDescent="0.3">
      <c r="A425" t="s">
        <v>22</v>
      </c>
      <c r="B425" t="s">
        <v>23</v>
      </c>
      <c r="C425" t="s">
        <v>13</v>
      </c>
      <c r="D425" t="s">
        <v>26</v>
      </c>
      <c r="E425" t="s">
        <v>25</v>
      </c>
      <c r="F425">
        <v>25.42</v>
      </c>
      <c r="G425">
        <v>8</v>
      </c>
      <c r="H425">
        <v>10.167999999999999</v>
      </c>
      <c r="I425">
        <v>213.52799999999999</v>
      </c>
      <c r="J425" s="3">
        <v>43543</v>
      </c>
      <c r="K425">
        <v>6.7</v>
      </c>
      <c r="L425" t="str" cm="1">
        <f t="array" ref="L425">_xlfn.IFS(Sales[[#This Row],[Rating]]&gt;8,"Super",Sales[[#This Row],[Rating]]&gt;=5,"Good",Sales[[#This Row],[Rating]]&lt;5,"Average")</f>
        <v>Good</v>
      </c>
      <c r="M425">
        <f t="shared" si="18"/>
        <v>3</v>
      </c>
      <c r="N425" t="str">
        <f t="shared" si="20"/>
        <v>Feb</v>
      </c>
      <c r="O425">
        <f t="shared" si="19"/>
        <v>2019</v>
      </c>
    </row>
    <row r="426" spans="1:15" x14ac:dyDescent="0.3">
      <c r="A426" t="s">
        <v>16</v>
      </c>
      <c r="B426" t="s">
        <v>17</v>
      </c>
      <c r="C426" t="s">
        <v>18</v>
      </c>
      <c r="D426" t="s">
        <v>26</v>
      </c>
      <c r="E426" t="s">
        <v>25</v>
      </c>
      <c r="F426">
        <v>16.28</v>
      </c>
      <c r="G426">
        <v>1</v>
      </c>
      <c r="H426">
        <v>0.81399999999999995</v>
      </c>
      <c r="I426">
        <v>17.094000000000001</v>
      </c>
      <c r="J426" s="3">
        <v>43533</v>
      </c>
      <c r="K426">
        <v>5</v>
      </c>
      <c r="L426" t="str" cm="1">
        <f t="array" ref="L426">_xlfn.IFS(Sales[[#This Row],[Rating]]&gt;8,"Super",Sales[[#This Row],[Rating]]&gt;=5,"Good",Sales[[#This Row],[Rating]]&lt;5,"Average")</f>
        <v>Good</v>
      </c>
      <c r="M426">
        <f t="shared" si="18"/>
        <v>3</v>
      </c>
      <c r="N426" t="str">
        <f t="shared" si="20"/>
        <v>Mar</v>
      </c>
      <c r="O426">
        <f t="shared" si="19"/>
        <v>2019</v>
      </c>
    </row>
    <row r="427" spans="1:15" x14ac:dyDescent="0.3">
      <c r="A427" t="s">
        <v>22</v>
      </c>
      <c r="B427" t="s">
        <v>23</v>
      </c>
      <c r="C427" t="s">
        <v>13</v>
      </c>
      <c r="D427" t="s">
        <v>26</v>
      </c>
      <c r="E427" t="s">
        <v>25</v>
      </c>
      <c r="F427">
        <v>40.61</v>
      </c>
      <c r="G427">
        <v>9</v>
      </c>
      <c r="H427">
        <v>18.2745</v>
      </c>
      <c r="I427">
        <v>383.7645</v>
      </c>
      <c r="J427" s="3">
        <v>43467</v>
      </c>
      <c r="K427">
        <v>7</v>
      </c>
      <c r="L427" t="str" cm="1">
        <f t="array" ref="L427">_xlfn.IFS(Sales[[#This Row],[Rating]]&gt;8,"Super",Sales[[#This Row],[Rating]]&gt;=5,"Good",Sales[[#This Row],[Rating]]&lt;5,"Average")</f>
        <v>Good</v>
      </c>
      <c r="M427">
        <f t="shared" si="18"/>
        <v>1</v>
      </c>
      <c r="N427" t="str">
        <f t="shared" si="20"/>
        <v>Mar</v>
      </c>
      <c r="O427">
        <f t="shared" si="19"/>
        <v>2019</v>
      </c>
    </row>
    <row r="428" spans="1:15" x14ac:dyDescent="0.3">
      <c r="A428" t="s">
        <v>11</v>
      </c>
      <c r="B428" t="s">
        <v>12</v>
      </c>
      <c r="C428" t="s">
        <v>13</v>
      </c>
      <c r="D428" t="s">
        <v>26</v>
      </c>
      <c r="E428" t="s">
        <v>15</v>
      </c>
      <c r="F428">
        <v>53.17</v>
      </c>
      <c r="G428">
        <v>7</v>
      </c>
      <c r="H428">
        <v>18.609500000000001</v>
      </c>
      <c r="I428">
        <v>390.79950000000002</v>
      </c>
      <c r="J428" s="3">
        <v>43486</v>
      </c>
      <c r="K428">
        <v>8.9</v>
      </c>
      <c r="L428" t="str" cm="1">
        <f t="array" ref="L428">_xlfn.IFS(Sales[[#This Row],[Rating]]&gt;8,"Super",Sales[[#This Row],[Rating]]&gt;=5,"Good",Sales[[#This Row],[Rating]]&lt;5,"Average")</f>
        <v>Super</v>
      </c>
      <c r="M428">
        <f t="shared" si="18"/>
        <v>1</v>
      </c>
      <c r="N428" t="str">
        <f t="shared" si="20"/>
        <v>Jan</v>
      </c>
      <c r="O428">
        <f t="shared" si="19"/>
        <v>2019</v>
      </c>
    </row>
    <row r="429" spans="1:15" x14ac:dyDescent="0.3">
      <c r="A429" t="s">
        <v>22</v>
      </c>
      <c r="B429" t="s">
        <v>23</v>
      </c>
      <c r="C429" t="s">
        <v>13</v>
      </c>
      <c r="D429" t="s">
        <v>14</v>
      </c>
      <c r="E429" t="s">
        <v>24</v>
      </c>
      <c r="F429">
        <v>20.87</v>
      </c>
      <c r="G429">
        <v>3</v>
      </c>
      <c r="H429">
        <v>3.1305000000000001</v>
      </c>
      <c r="I429">
        <v>65.740499999999997</v>
      </c>
      <c r="J429" s="3">
        <v>43544</v>
      </c>
      <c r="K429">
        <v>8</v>
      </c>
      <c r="L429" t="str" cm="1">
        <f t="array" ref="L429">_xlfn.IFS(Sales[[#This Row],[Rating]]&gt;8,"Super",Sales[[#This Row],[Rating]]&gt;=5,"Good",Sales[[#This Row],[Rating]]&lt;5,"Average")</f>
        <v>Good</v>
      </c>
      <c r="M429">
        <f t="shared" si="18"/>
        <v>3</v>
      </c>
      <c r="N429" t="str">
        <f t="shared" si="20"/>
        <v>Jan</v>
      </c>
      <c r="O429">
        <f t="shared" si="19"/>
        <v>2019</v>
      </c>
    </row>
    <row r="430" spans="1:15" x14ac:dyDescent="0.3">
      <c r="A430" t="s">
        <v>22</v>
      </c>
      <c r="B430" t="s">
        <v>23</v>
      </c>
      <c r="C430" t="s">
        <v>18</v>
      </c>
      <c r="D430" t="s">
        <v>26</v>
      </c>
      <c r="E430" t="s">
        <v>21</v>
      </c>
      <c r="F430">
        <v>67.27</v>
      </c>
      <c r="G430">
        <v>5</v>
      </c>
      <c r="H430">
        <v>16.817499999999999</v>
      </c>
      <c r="I430">
        <v>353.16750000000002</v>
      </c>
      <c r="J430" s="3">
        <v>43523</v>
      </c>
      <c r="K430">
        <v>6.9</v>
      </c>
      <c r="L430" t="str" cm="1">
        <f t="array" ref="L430">_xlfn.IFS(Sales[[#This Row],[Rating]]&gt;8,"Super",Sales[[#This Row],[Rating]]&gt;=5,"Good",Sales[[#This Row],[Rating]]&lt;5,"Average")</f>
        <v>Good</v>
      </c>
      <c r="M430">
        <f t="shared" si="18"/>
        <v>2</v>
      </c>
      <c r="N430" t="str">
        <f t="shared" si="20"/>
        <v>Mar</v>
      </c>
      <c r="O430">
        <f t="shared" si="19"/>
        <v>2019</v>
      </c>
    </row>
    <row r="431" spans="1:15" x14ac:dyDescent="0.3">
      <c r="A431" t="s">
        <v>11</v>
      </c>
      <c r="B431" t="s">
        <v>12</v>
      </c>
      <c r="C431" t="s">
        <v>13</v>
      </c>
      <c r="D431" t="s">
        <v>14</v>
      </c>
      <c r="E431" t="s">
        <v>20</v>
      </c>
      <c r="F431">
        <v>90.65</v>
      </c>
      <c r="G431">
        <v>10</v>
      </c>
      <c r="H431">
        <v>45.325000000000003</v>
      </c>
      <c r="I431">
        <v>951.82500000000005</v>
      </c>
      <c r="J431" s="3">
        <v>43532</v>
      </c>
      <c r="K431">
        <v>7.3</v>
      </c>
      <c r="L431" t="str" cm="1">
        <f t="array" ref="L431">_xlfn.IFS(Sales[[#This Row],[Rating]]&gt;8,"Super",Sales[[#This Row],[Rating]]&gt;=5,"Good",Sales[[#This Row],[Rating]]&lt;5,"Average")</f>
        <v>Good</v>
      </c>
      <c r="M431">
        <f t="shared" si="18"/>
        <v>3</v>
      </c>
      <c r="N431" t="str">
        <f t="shared" si="20"/>
        <v>Feb</v>
      </c>
      <c r="O431">
        <f t="shared" si="19"/>
        <v>2019</v>
      </c>
    </row>
    <row r="432" spans="1:15" x14ac:dyDescent="0.3">
      <c r="A432" t="s">
        <v>22</v>
      </c>
      <c r="B432" t="s">
        <v>23</v>
      </c>
      <c r="C432" t="s">
        <v>18</v>
      </c>
      <c r="D432" t="s">
        <v>26</v>
      </c>
      <c r="E432" t="s">
        <v>25</v>
      </c>
      <c r="F432">
        <v>69.08</v>
      </c>
      <c r="G432">
        <v>2</v>
      </c>
      <c r="H432">
        <v>6.9080000000000004</v>
      </c>
      <c r="I432">
        <v>145.06800000000001</v>
      </c>
      <c r="J432" s="3">
        <v>43496</v>
      </c>
      <c r="K432">
        <v>6.9</v>
      </c>
      <c r="L432" t="str" cm="1">
        <f t="array" ref="L432">_xlfn.IFS(Sales[[#This Row],[Rating]]&gt;8,"Super",Sales[[#This Row],[Rating]]&gt;=5,"Good",Sales[[#This Row],[Rating]]&lt;5,"Average")</f>
        <v>Good</v>
      </c>
      <c r="M432">
        <f t="shared" si="18"/>
        <v>1</v>
      </c>
      <c r="N432" t="str">
        <f t="shared" si="20"/>
        <v>Mar</v>
      </c>
      <c r="O432">
        <f t="shared" si="19"/>
        <v>2019</v>
      </c>
    </row>
    <row r="433" spans="1:15" x14ac:dyDescent="0.3">
      <c r="A433" t="s">
        <v>16</v>
      </c>
      <c r="B433" t="s">
        <v>17</v>
      </c>
      <c r="C433" t="s">
        <v>18</v>
      </c>
      <c r="D433" t="s">
        <v>26</v>
      </c>
      <c r="E433" t="s">
        <v>24</v>
      </c>
      <c r="F433">
        <v>43.27</v>
      </c>
      <c r="G433">
        <v>2</v>
      </c>
      <c r="H433">
        <v>4.327</v>
      </c>
      <c r="I433">
        <v>90.867000000000004</v>
      </c>
      <c r="J433" s="3">
        <v>43532</v>
      </c>
      <c r="K433">
        <v>5.7</v>
      </c>
      <c r="L433" t="str" cm="1">
        <f t="array" ref="L433">_xlfn.IFS(Sales[[#This Row],[Rating]]&gt;8,"Super",Sales[[#This Row],[Rating]]&gt;=5,"Good",Sales[[#This Row],[Rating]]&lt;5,"Average")</f>
        <v>Good</v>
      </c>
      <c r="M433">
        <f t="shared" si="18"/>
        <v>3</v>
      </c>
      <c r="N433" t="str">
        <f t="shared" si="20"/>
        <v>Jan</v>
      </c>
      <c r="O433">
        <f t="shared" si="19"/>
        <v>2019</v>
      </c>
    </row>
    <row r="434" spans="1:15" x14ac:dyDescent="0.3">
      <c r="A434" t="s">
        <v>11</v>
      </c>
      <c r="B434" t="s">
        <v>12</v>
      </c>
      <c r="C434" t="s">
        <v>18</v>
      </c>
      <c r="D434" t="s">
        <v>14</v>
      </c>
      <c r="E434" t="s">
        <v>19</v>
      </c>
      <c r="F434">
        <v>23.46</v>
      </c>
      <c r="G434">
        <v>6</v>
      </c>
      <c r="H434">
        <v>7.0380000000000003</v>
      </c>
      <c r="I434">
        <v>147.798</v>
      </c>
      <c r="J434" s="3">
        <v>43478</v>
      </c>
      <c r="K434">
        <v>6.4</v>
      </c>
      <c r="L434" t="str" cm="1">
        <f t="array" ref="L434">_xlfn.IFS(Sales[[#This Row],[Rating]]&gt;8,"Super",Sales[[#This Row],[Rating]]&gt;=5,"Good",Sales[[#This Row],[Rating]]&lt;5,"Average")</f>
        <v>Good</v>
      </c>
      <c r="M434">
        <f t="shared" si="18"/>
        <v>1</v>
      </c>
      <c r="N434" t="str">
        <f t="shared" si="20"/>
        <v>Mar</v>
      </c>
      <c r="O434">
        <f t="shared" si="19"/>
        <v>2019</v>
      </c>
    </row>
    <row r="435" spans="1:15" x14ac:dyDescent="0.3">
      <c r="A435" t="s">
        <v>22</v>
      </c>
      <c r="B435" t="s">
        <v>23</v>
      </c>
      <c r="C435" t="s">
        <v>18</v>
      </c>
      <c r="D435" t="s">
        <v>26</v>
      </c>
      <c r="E435" t="s">
        <v>25</v>
      </c>
      <c r="F435">
        <v>95.54</v>
      </c>
      <c r="G435">
        <v>7</v>
      </c>
      <c r="H435">
        <v>33.439</v>
      </c>
      <c r="I435">
        <v>702.21900000000005</v>
      </c>
      <c r="J435" s="3">
        <v>43533</v>
      </c>
      <c r="K435">
        <v>9.6</v>
      </c>
      <c r="L435" t="str" cm="1">
        <f t="array" ref="L435">_xlfn.IFS(Sales[[#This Row],[Rating]]&gt;8,"Super",Sales[[#This Row],[Rating]]&gt;=5,"Good",Sales[[#This Row],[Rating]]&lt;5,"Average")</f>
        <v>Super</v>
      </c>
      <c r="M435">
        <f t="shared" si="18"/>
        <v>3</v>
      </c>
      <c r="N435" t="str">
        <f t="shared" si="20"/>
        <v>Jan</v>
      </c>
      <c r="O435">
        <f t="shared" si="19"/>
        <v>2019</v>
      </c>
    </row>
    <row r="436" spans="1:15" x14ac:dyDescent="0.3">
      <c r="A436" t="s">
        <v>22</v>
      </c>
      <c r="B436" t="s">
        <v>23</v>
      </c>
      <c r="C436" t="s">
        <v>18</v>
      </c>
      <c r="D436" t="s">
        <v>14</v>
      </c>
      <c r="E436" t="s">
        <v>25</v>
      </c>
      <c r="F436">
        <v>47.44</v>
      </c>
      <c r="G436">
        <v>1</v>
      </c>
      <c r="H436">
        <v>2.3719999999999999</v>
      </c>
      <c r="I436">
        <v>49.811999999999998</v>
      </c>
      <c r="J436" s="3">
        <v>43518</v>
      </c>
      <c r="K436">
        <v>6.8</v>
      </c>
      <c r="L436" t="str" cm="1">
        <f t="array" ref="L436">_xlfn.IFS(Sales[[#This Row],[Rating]]&gt;8,"Super",Sales[[#This Row],[Rating]]&gt;=5,"Good",Sales[[#This Row],[Rating]]&lt;5,"Average")</f>
        <v>Good</v>
      </c>
      <c r="M436">
        <f t="shared" si="18"/>
        <v>2</v>
      </c>
      <c r="N436" t="str">
        <f t="shared" si="20"/>
        <v>Mar</v>
      </c>
      <c r="O436">
        <f t="shared" si="19"/>
        <v>2019</v>
      </c>
    </row>
    <row r="437" spans="1:15" x14ac:dyDescent="0.3">
      <c r="A437" t="s">
        <v>16</v>
      </c>
      <c r="B437" t="s">
        <v>17</v>
      </c>
      <c r="C437" t="s">
        <v>18</v>
      </c>
      <c r="D437" t="s">
        <v>26</v>
      </c>
      <c r="E437" t="s">
        <v>21</v>
      </c>
      <c r="F437">
        <v>99.24</v>
      </c>
      <c r="G437">
        <v>9</v>
      </c>
      <c r="H437">
        <v>44.658000000000001</v>
      </c>
      <c r="I437">
        <v>937.81799999999998</v>
      </c>
      <c r="J437" s="3">
        <v>43543</v>
      </c>
      <c r="K437">
        <v>9</v>
      </c>
      <c r="L437" t="str" cm="1">
        <f t="array" ref="L437">_xlfn.IFS(Sales[[#This Row],[Rating]]&gt;8,"Super",Sales[[#This Row],[Rating]]&gt;=5,"Good",Sales[[#This Row],[Rating]]&lt;5,"Average")</f>
        <v>Super</v>
      </c>
      <c r="M437">
        <f t="shared" si="18"/>
        <v>3</v>
      </c>
      <c r="N437" t="str">
        <f t="shared" si="20"/>
        <v>Feb</v>
      </c>
      <c r="O437">
        <f t="shared" si="19"/>
        <v>2019</v>
      </c>
    </row>
    <row r="438" spans="1:15" x14ac:dyDescent="0.3">
      <c r="A438" t="s">
        <v>16</v>
      </c>
      <c r="B438" t="s">
        <v>17</v>
      </c>
      <c r="C438" t="s">
        <v>13</v>
      </c>
      <c r="D438" t="s">
        <v>26</v>
      </c>
      <c r="E438" t="s">
        <v>21</v>
      </c>
      <c r="F438">
        <v>82.93</v>
      </c>
      <c r="G438">
        <v>4</v>
      </c>
      <c r="H438">
        <v>16.585999999999999</v>
      </c>
      <c r="I438">
        <v>348.30599999999998</v>
      </c>
      <c r="J438" s="3">
        <v>43485</v>
      </c>
      <c r="K438">
        <v>9.6</v>
      </c>
      <c r="L438" t="str" cm="1">
        <f t="array" ref="L438">_xlfn.IFS(Sales[[#This Row],[Rating]]&gt;8,"Super",Sales[[#This Row],[Rating]]&gt;=5,"Good",Sales[[#This Row],[Rating]]&lt;5,"Average")</f>
        <v>Super</v>
      </c>
      <c r="M438">
        <f t="shared" si="18"/>
        <v>1</v>
      </c>
      <c r="N438" t="str">
        <f t="shared" si="20"/>
        <v>Mar</v>
      </c>
      <c r="O438">
        <f t="shared" si="19"/>
        <v>2019</v>
      </c>
    </row>
    <row r="439" spans="1:15" x14ac:dyDescent="0.3">
      <c r="A439" t="s">
        <v>11</v>
      </c>
      <c r="B439" t="s">
        <v>12</v>
      </c>
      <c r="C439" t="s">
        <v>18</v>
      </c>
      <c r="D439" t="s">
        <v>26</v>
      </c>
      <c r="E439" t="s">
        <v>20</v>
      </c>
      <c r="F439">
        <v>33.99</v>
      </c>
      <c r="G439">
        <v>6</v>
      </c>
      <c r="H439">
        <v>10.196999999999999</v>
      </c>
      <c r="I439">
        <v>214.137</v>
      </c>
      <c r="J439" s="3">
        <v>43532</v>
      </c>
      <c r="K439">
        <v>7.7</v>
      </c>
      <c r="L439" t="str" cm="1">
        <f t="array" ref="L439">_xlfn.IFS(Sales[[#This Row],[Rating]]&gt;8,"Super",Sales[[#This Row],[Rating]]&gt;=5,"Good",Sales[[#This Row],[Rating]]&lt;5,"Average")</f>
        <v>Good</v>
      </c>
      <c r="M439">
        <f t="shared" si="18"/>
        <v>3</v>
      </c>
      <c r="N439" t="str">
        <f t="shared" si="20"/>
        <v>Jan</v>
      </c>
      <c r="O439">
        <f t="shared" si="19"/>
        <v>2019</v>
      </c>
    </row>
    <row r="440" spans="1:15" x14ac:dyDescent="0.3">
      <c r="A440" t="s">
        <v>16</v>
      </c>
      <c r="B440" t="s">
        <v>17</v>
      </c>
      <c r="C440" t="s">
        <v>13</v>
      </c>
      <c r="D440" t="s">
        <v>26</v>
      </c>
      <c r="E440" t="s">
        <v>24</v>
      </c>
      <c r="F440">
        <v>17.04</v>
      </c>
      <c r="G440">
        <v>4</v>
      </c>
      <c r="H440">
        <v>3.4079999999999999</v>
      </c>
      <c r="I440">
        <v>71.567999999999998</v>
      </c>
      <c r="J440" s="3">
        <v>43532</v>
      </c>
      <c r="K440">
        <v>7</v>
      </c>
      <c r="L440" t="str" cm="1">
        <f t="array" ref="L440">_xlfn.IFS(Sales[[#This Row],[Rating]]&gt;8,"Super",Sales[[#This Row],[Rating]]&gt;=5,"Good",Sales[[#This Row],[Rating]]&lt;5,"Average")</f>
        <v>Good</v>
      </c>
      <c r="M440">
        <f t="shared" si="18"/>
        <v>3</v>
      </c>
      <c r="N440" t="str">
        <f t="shared" si="20"/>
        <v>Mar</v>
      </c>
      <c r="O440">
        <f t="shared" si="19"/>
        <v>2019</v>
      </c>
    </row>
    <row r="441" spans="1:15" x14ac:dyDescent="0.3">
      <c r="A441" t="s">
        <v>16</v>
      </c>
      <c r="B441" t="s">
        <v>17</v>
      </c>
      <c r="C441" t="s">
        <v>18</v>
      </c>
      <c r="D441" t="s">
        <v>14</v>
      </c>
      <c r="E441" t="s">
        <v>19</v>
      </c>
      <c r="F441">
        <v>40.86</v>
      </c>
      <c r="G441">
        <v>8</v>
      </c>
      <c r="H441">
        <v>16.344000000000001</v>
      </c>
      <c r="I441">
        <v>343.22399999999999</v>
      </c>
      <c r="J441" s="3">
        <v>43503</v>
      </c>
      <c r="K441">
        <v>6.5</v>
      </c>
      <c r="L441" t="str" cm="1">
        <f t="array" ref="L441">_xlfn.IFS(Sales[[#This Row],[Rating]]&gt;8,"Super",Sales[[#This Row],[Rating]]&gt;=5,"Good",Sales[[#This Row],[Rating]]&lt;5,"Average")</f>
        <v>Good</v>
      </c>
      <c r="M441">
        <f t="shared" si="18"/>
        <v>2</v>
      </c>
      <c r="N441" t="str">
        <f t="shared" si="20"/>
        <v>Mar</v>
      </c>
      <c r="O441">
        <f t="shared" si="19"/>
        <v>2019</v>
      </c>
    </row>
    <row r="442" spans="1:15" x14ac:dyDescent="0.3">
      <c r="A442" t="s">
        <v>16</v>
      </c>
      <c r="B442" t="s">
        <v>17</v>
      </c>
      <c r="C442" t="s">
        <v>13</v>
      </c>
      <c r="D442" t="s">
        <v>26</v>
      </c>
      <c r="E442" t="s">
        <v>24</v>
      </c>
      <c r="F442">
        <v>17.440000000000001</v>
      </c>
      <c r="G442">
        <v>5</v>
      </c>
      <c r="H442">
        <v>4.3600000000000003</v>
      </c>
      <c r="I442">
        <v>91.56</v>
      </c>
      <c r="J442" s="3">
        <v>43480</v>
      </c>
      <c r="K442">
        <v>8.1</v>
      </c>
      <c r="L442" t="str" cm="1">
        <f t="array" ref="L442">_xlfn.IFS(Sales[[#This Row],[Rating]]&gt;8,"Super",Sales[[#This Row],[Rating]]&gt;=5,"Good",Sales[[#This Row],[Rating]]&lt;5,"Average")</f>
        <v>Super</v>
      </c>
      <c r="M442">
        <f t="shared" si="18"/>
        <v>1</v>
      </c>
      <c r="N442" t="str">
        <f t="shared" si="20"/>
        <v>Feb</v>
      </c>
      <c r="O442">
        <f t="shared" si="19"/>
        <v>2019</v>
      </c>
    </row>
    <row r="443" spans="1:15" x14ac:dyDescent="0.3">
      <c r="A443" t="s">
        <v>22</v>
      </c>
      <c r="B443" t="s">
        <v>23</v>
      </c>
      <c r="C443" t="s">
        <v>13</v>
      </c>
      <c r="D443" t="s">
        <v>14</v>
      </c>
      <c r="E443" t="s">
        <v>21</v>
      </c>
      <c r="F443">
        <v>88.43</v>
      </c>
      <c r="G443">
        <v>8</v>
      </c>
      <c r="H443">
        <v>35.372</v>
      </c>
      <c r="I443">
        <v>742.81200000000001</v>
      </c>
      <c r="J443" s="3">
        <v>43546</v>
      </c>
      <c r="K443">
        <v>4.3</v>
      </c>
      <c r="L443" t="str" cm="1">
        <f t="array" ref="L443">_xlfn.IFS(Sales[[#This Row],[Rating]]&gt;8,"Super",Sales[[#This Row],[Rating]]&gt;=5,"Good",Sales[[#This Row],[Rating]]&lt;5,"Average")</f>
        <v>Average</v>
      </c>
      <c r="M443">
        <f t="shared" si="18"/>
        <v>3</v>
      </c>
      <c r="N443" t="str">
        <f t="shared" si="20"/>
        <v>Jan</v>
      </c>
      <c r="O443">
        <f t="shared" si="19"/>
        <v>2019</v>
      </c>
    </row>
    <row r="444" spans="1:15" x14ac:dyDescent="0.3">
      <c r="A444" t="s">
        <v>11</v>
      </c>
      <c r="B444" t="s">
        <v>12</v>
      </c>
      <c r="C444" t="s">
        <v>13</v>
      </c>
      <c r="D444" t="s">
        <v>14</v>
      </c>
      <c r="E444" t="s">
        <v>20</v>
      </c>
      <c r="F444">
        <v>89.21</v>
      </c>
      <c r="G444">
        <v>9</v>
      </c>
      <c r="H444">
        <v>40.144500000000001</v>
      </c>
      <c r="I444">
        <v>843.03449999999998</v>
      </c>
      <c r="J444" s="3">
        <v>43480</v>
      </c>
      <c r="K444">
        <v>6.5</v>
      </c>
      <c r="L444" t="str" cm="1">
        <f t="array" ref="L444">_xlfn.IFS(Sales[[#This Row],[Rating]]&gt;8,"Super",Sales[[#This Row],[Rating]]&gt;=5,"Good",Sales[[#This Row],[Rating]]&lt;5,"Average")</f>
        <v>Good</v>
      </c>
      <c r="M444">
        <f t="shared" si="18"/>
        <v>1</v>
      </c>
      <c r="N444" t="str">
        <f t="shared" si="20"/>
        <v>Mar</v>
      </c>
      <c r="O444">
        <f t="shared" si="19"/>
        <v>2019</v>
      </c>
    </row>
    <row r="445" spans="1:15" x14ac:dyDescent="0.3">
      <c r="A445" t="s">
        <v>16</v>
      </c>
      <c r="B445" t="s">
        <v>17</v>
      </c>
      <c r="C445" t="s">
        <v>18</v>
      </c>
      <c r="D445" t="s">
        <v>26</v>
      </c>
      <c r="E445" t="s">
        <v>25</v>
      </c>
      <c r="F445">
        <v>12.78</v>
      </c>
      <c r="G445">
        <v>1</v>
      </c>
      <c r="H445">
        <v>0.63900000000000001</v>
      </c>
      <c r="I445">
        <v>13.419</v>
      </c>
      <c r="J445" s="3">
        <v>43473</v>
      </c>
      <c r="K445">
        <v>9.5</v>
      </c>
      <c r="L445" t="str" cm="1">
        <f t="array" ref="L445">_xlfn.IFS(Sales[[#This Row],[Rating]]&gt;8,"Super",Sales[[#This Row],[Rating]]&gt;=5,"Good",Sales[[#This Row],[Rating]]&lt;5,"Average")</f>
        <v>Super</v>
      </c>
      <c r="M445">
        <f t="shared" si="18"/>
        <v>1</v>
      </c>
      <c r="N445" t="str">
        <f t="shared" si="20"/>
        <v>Jan</v>
      </c>
      <c r="O445">
        <f t="shared" si="19"/>
        <v>2019</v>
      </c>
    </row>
    <row r="446" spans="1:15" x14ac:dyDescent="0.3">
      <c r="A446" t="s">
        <v>11</v>
      </c>
      <c r="B446" t="s">
        <v>12</v>
      </c>
      <c r="C446" t="s">
        <v>18</v>
      </c>
      <c r="D446" t="s">
        <v>14</v>
      </c>
      <c r="E446" t="s">
        <v>21</v>
      </c>
      <c r="F446">
        <v>19.100000000000001</v>
      </c>
      <c r="G446">
        <v>7</v>
      </c>
      <c r="H446">
        <v>6.6849999999999996</v>
      </c>
      <c r="I446">
        <v>140.38499999999999</v>
      </c>
      <c r="J446" s="3">
        <v>43480</v>
      </c>
      <c r="K446">
        <v>9.6999999999999993</v>
      </c>
      <c r="L446" t="str" cm="1">
        <f t="array" ref="L446">_xlfn.IFS(Sales[[#This Row],[Rating]]&gt;8,"Super",Sales[[#This Row],[Rating]]&gt;=5,"Good",Sales[[#This Row],[Rating]]&lt;5,"Average")</f>
        <v>Super</v>
      </c>
      <c r="M446">
        <f t="shared" si="18"/>
        <v>1</v>
      </c>
      <c r="N446" t="str">
        <f t="shared" si="20"/>
        <v>Jan</v>
      </c>
      <c r="O446">
        <f t="shared" si="19"/>
        <v>2019</v>
      </c>
    </row>
    <row r="447" spans="1:15" x14ac:dyDescent="0.3">
      <c r="A447" t="s">
        <v>22</v>
      </c>
      <c r="B447" t="s">
        <v>23</v>
      </c>
      <c r="C447" t="s">
        <v>13</v>
      </c>
      <c r="D447" t="s">
        <v>14</v>
      </c>
      <c r="E447" t="s">
        <v>15</v>
      </c>
      <c r="F447">
        <v>19.149999999999999</v>
      </c>
      <c r="G447">
        <v>1</v>
      </c>
      <c r="H447">
        <v>0.95750000000000002</v>
      </c>
      <c r="I447">
        <v>20.107500000000002</v>
      </c>
      <c r="J447" s="3">
        <v>43493</v>
      </c>
      <c r="K447">
        <v>9.5</v>
      </c>
      <c r="L447" t="str" cm="1">
        <f t="array" ref="L447">_xlfn.IFS(Sales[[#This Row],[Rating]]&gt;8,"Super",Sales[[#This Row],[Rating]]&gt;=5,"Good",Sales[[#This Row],[Rating]]&lt;5,"Average")</f>
        <v>Super</v>
      </c>
      <c r="M447">
        <f t="shared" si="18"/>
        <v>1</v>
      </c>
      <c r="N447" t="str">
        <f t="shared" si="20"/>
        <v>Jan</v>
      </c>
      <c r="O447">
        <f t="shared" si="19"/>
        <v>2019</v>
      </c>
    </row>
    <row r="448" spans="1:15" x14ac:dyDescent="0.3">
      <c r="A448" t="s">
        <v>16</v>
      </c>
      <c r="B448" t="s">
        <v>17</v>
      </c>
      <c r="C448" t="s">
        <v>13</v>
      </c>
      <c r="D448" t="s">
        <v>26</v>
      </c>
      <c r="E448" t="s">
        <v>24</v>
      </c>
      <c r="F448">
        <v>27.66</v>
      </c>
      <c r="G448">
        <v>10</v>
      </c>
      <c r="H448">
        <v>13.83</v>
      </c>
      <c r="I448">
        <v>290.43</v>
      </c>
      <c r="J448" s="3">
        <v>43510</v>
      </c>
      <c r="K448">
        <v>8.9</v>
      </c>
      <c r="L448" t="str" cm="1">
        <f t="array" ref="L448">_xlfn.IFS(Sales[[#This Row],[Rating]]&gt;8,"Super",Sales[[#This Row],[Rating]]&gt;=5,"Good",Sales[[#This Row],[Rating]]&lt;5,"Average")</f>
        <v>Super</v>
      </c>
      <c r="M448">
        <f t="shared" si="18"/>
        <v>2</v>
      </c>
      <c r="N448" t="str">
        <f t="shared" si="20"/>
        <v>Jan</v>
      </c>
      <c r="O448">
        <f t="shared" si="19"/>
        <v>2019</v>
      </c>
    </row>
    <row r="449" spans="1:15" x14ac:dyDescent="0.3">
      <c r="A449" t="s">
        <v>16</v>
      </c>
      <c r="B449" t="s">
        <v>17</v>
      </c>
      <c r="C449" t="s">
        <v>18</v>
      </c>
      <c r="D449" t="s">
        <v>26</v>
      </c>
      <c r="E449" t="s">
        <v>25</v>
      </c>
      <c r="F449">
        <v>45.74</v>
      </c>
      <c r="G449">
        <v>3</v>
      </c>
      <c r="H449">
        <v>6.8609999999999998</v>
      </c>
      <c r="I449">
        <v>144.08099999999999</v>
      </c>
      <c r="J449" s="3">
        <v>43534</v>
      </c>
      <c r="K449">
        <v>6.5</v>
      </c>
      <c r="L449" t="str" cm="1">
        <f t="array" ref="L449">_xlfn.IFS(Sales[[#This Row],[Rating]]&gt;8,"Super",Sales[[#This Row],[Rating]]&gt;=5,"Good",Sales[[#This Row],[Rating]]&lt;5,"Average")</f>
        <v>Good</v>
      </c>
      <c r="M449">
        <f t="shared" si="18"/>
        <v>3</v>
      </c>
      <c r="N449" t="str">
        <f t="shared" si="20"/>
        <v>Feb</v>
      </c>
      <c r="O449">
        <f t="shared" si="19"/>
        <v>2019</v>
      </c>
    </row>
    <row r="450" spans="1:15" x14ac:dyDescent="0.3">
      <c r="A450" t="s">
        <v>22</v>
      </c>
      <c r="B450" t="s">
        <v>23</v>
      </c>
      <c r="C450" t="s">
        <v>13</v>
      </c>
      <c r="D450" t="s">
        <v>14</v>
      </c>
      <c r="E450" t="s">
        <v>15</v>
      </c>
      <c r="F450">
        <v>27.07</v>
      </c>
      <c r="G450">
        <v>1</v>
      </c>
      <c r="H450">
        <v>1.3534999999999999</v>
      </c>
      <c r="I450">
        <v>28.423500000000001</v>
      </c>
      <c r="J450" s="3">
        <v>43477</v>
      </c>
      <c r="K450">
        <v>5.3</v>
      </c>
      <c r="L450" t="str" cm="1">
        <f t="array" ref="L450">_xlfn.IFS(Sales[[#This Row],[Rating]]&gt;8,"Super",Sales[[#This Row],[Rating]]&gt;=5,"Good",Sales[[#This Row],[Rating]]&lt;5,"Average")</f>
        <v>Good</v>
      </c>
      <c r="M450">
        <f t="shared" si="18"/>
        <v>1</v>
      </c>
      <c r="N450" t="str">
        <f t="shared" si="20"/>
        <v>Mar</v>
      </c>
      <c r="O450">
        <f t="shared" si="19"/>
        <v>2019</v>
      </c>
    </row>
    <row r="451" spans="1:15" x14ac:dyDescent="0.3">
      <c r="A451" t="s">
        <v>22</v>
      </c>
      <c r="B451" t="s">
        <v>23</v>
      </c>
      <c r="C451" t="s">
        <v>13</v>
      </c>
      <c r="D451" t="s">
        <v>14</v>
      </c>
      <c r="E451" t="s">
        <v>21</v>
      </c>
      <c r="F451">
        <v>39.119999999999997</v>
      </c>
      <c r="G451">
        <v>1</v>
      </c>
      <c r="H451">
        <v>1.956</v>
      </c>
      <c r="I451">
        <v>41.076000000000001</v>
      </c>
      <c r="J451" s="3">
        <v>43550</v>
      </c>
      <c r="K451">
        <v>9.6</v>
      </c>
      <c r="L451" t="str" cm="1">
        <f t="array" ref="L451">_xlfn.IFS(Sales[[#This Row],[Rating]]&gt;8,"Super",Sales[[#This Row],[Rating]]&gt;=5,"Good",Sales[[#This Row],[Rating]]&lt;5,"Average")</f>
        <v>Super</v>
      </c>
      <c r="M451">
        <f t="shared" ref="M451:M500" si="21">MONTH(J451)</f>
        <v>3</v>
      </c>
      <c r="N451" t="str">
        <f t="shared" si="20"/>
        <v>Jan</v>
      </c>
      <c r="O451">
        <f t="shared" ref="O451:O500" si="22">YEAR(J451)</f>
        <v>2019</v>
      </c>
    </row>
    <row r="452" spans="1:15" x14ac:dyDescent="0.3">
      <c r="A452" t="s">
        <v>22</v>
      </c>
      <c r="B452" t="s">
        <v>23</v>
      </c>
      <c r="C452" t="s">
        <v>18</v>
      </c>
      <c r="D452" t="s">
        <v>14</v>
      </c>
      <c r="E452" t="s">
        <v>19</v>
      </c>
      <c r="F452">
        <v>74.709999999999994</v>
      </c>
      <c r="G452">
        <v>6</v>
      </c>
      <c r="H452">
        <v>22.413</v>
      </c>
      <c r="I452">
        <v>470.673</v>
      </c>
      <c r="J452" s="3">
        <v>43466</v>
      </c>
      <c r="K452">
        <v>6.7</v>
      </c>
      <c r="L452" t="str" cm="1">
        <f t="array" ref="L452">_xlfn.IFS(Sales[[#This Row],[Rating]]&gt;8,"Super",Sales[[#This Row],[Rating]]&gt;=5,"Good",Sales[[#This Row],[Rating]]&lt;5,"Average")</f>
        <v>Good</v>
      </c>
      <c r="M452">
        <f t="shared" si="21"/>
        <v>1</v>
      </c>
      <c r="N452" t="str">
        <f t="shared" ref="N452:N500" si="23">TEXT(J451,"MMM")</f>
        <v>Mar</v>
      </c>
      <c r="O452">
        <f t="shared" si="22"/>
        <v>2019</v>
      </c>
    </row>
    <row r="453" spans="1:15" x14ac:dyDescent="0.3">
      <c r="A453" t="s">
        <v>22</v>
      </c>
      <c r="B453" t="s">
        <v>23</v>
      </c>
      <c r="C453" t="s">
        <v>18</v>
      </c>
      <c r="D453" t="s">
        <v>26</v>
      </c>
      <c r="E453" t="s">
        <v>19</v>
      </c>
      <c r="F453">
        <v>22.01</v>
      </c>
      <c r="G453">
        <v>6</v>
      </c>
      <c r="H453">
        <v>6.6029999999999998</v>
      </c>
      <c r="I453">
        <v>138.66300000000001</v>
      </c>
      <c r="J453" s="3">
        <v>43467</v>
      </c>
      <c r="K453">
        <v>7.6</v>
      </c>
      <c r="L453" t="str" cm="1">
        <f t="array" ref="L453">_xlfn.IFS(Sales[[#This Row],[Rating]]&gt;8,"Super",Sales[[#This Row],[Rating]]&gt;=5,"Good",Sales[[#This Row],[Rating]]&lt;5,"Average")</f>
        <v>Good</v>
      </c>
      <c r="M453">
        <f t="shared" si="21"/>
        <v>1</v>
      </c>
      <c r="N453" t="str">
        <f t="shared" si="23"/>
        <v>Jan</v>
      </c>
      <c r="O453">
        <f t="shared" si="22"/>
        <v>2019</v>
      </c>
    </row>
    <row r="454" spans="1:15" x14ac:dyDescent="0.3">
      <c r="A454" t="s">
        <v>11</v>
      </c>
      <c r="B454" t="s">
        <v>12</v>
      </c>
      <c r="C454" t="s">
        <v>18</v>
      </c>
      <c r="D454" t="s">
        <v>14</v>
      </c>
      <c r="E454" t="s">
        <v>24</v>
      </c>
      <c r="F454">
        <v>63.61</v>
      </c>
      <c r="G454">
        <v>5</v>
      </c>
      <c r="H454">
        <v>15.9025</v>
      </c>
      <c r="I454">
        <v>333.95249999999999</v>
      </c>
      <c r="J454" s="3">
        <v>43540</v>
      </c>
      <c r="K454">
        <v>4.8</v>
      </c>
      <c r="L454" t="str" cm="1">
        <f t="array" ref="L454">_xlfn.IFS(Sales[[#This Row],[Rating]]&gt;8,"Super",Sales[[#This Row],[Rating]]&gt;=5,"Good",Sales[[#This Row],[Rating]]&lt;5,"Average")</f>
        <v>Average</v>
      </c>
      <c r="M454">
        <f t="shared" si="21"/>
        <v>3</v>
      </c>
      <c r="N454" t="str">
        <f t="shared" si="23"/>
        <v>Jan</v>
      </c>
      <c r="O454">
        <f t="shared" si="22"/>
        <v>2019</v>
      </c>
    </row>
    <row r="455" spans="1:15" x14ac:dyDescent="0.3">
      <c r="A455" t="s">
        <v>11</v>
      </c>
      <c r="B455" t="s">
        <v>12</v>
      </c>
      <c r="C455" t="s">
        <v>18</v>
      </c>
      <c r="D455" t="s">
        <v>26</v>
      </c>
      <c r="E455" t="s">
        <v>15</v>
      </c>
      <c r="F455">
        <v>25</v>
      </c>
      <c r="G455">
        <v>1</v>
      </c>
      <c r="H455">
        <v>1.25</v>
      </c>
      <c r="I455">
        <v>26.25</v>
      </c>
      <c r="J455" s="3">
        <v>43527</v>
      </c>
      <c r="K455">
        <v>5.5</v>
      </c>
      <c r="L455" t="str" cm="1">
        <f t="array" ref="L455">_xlfn.IFS(Sales[[#This Row],[Rating]]&gt;8,"Super",Sales[[#This Row],[Rating]]&gt;=5,"Good",Sales[[#This Row],[Rating]]&lt;5,"Average")</f>
        <v>Good</v>
      </c>
      <c r="M455">
        <f t="shared" si="21"/>
        <v>3</v>
      </c>
      <c r="N455" t="str">
        <f t="shared" si="23"/>
        <v>Mar</v>
      </c>
      <c r="O455">
        <f t="shared" si="22"/>
        <v>2019</v>
      </c>
    </row>
    <row r="456" spans="1:15" x14ac:dyDescent="0.3">
      <c r="A456" t="s">
        <v>11</v>
      </c>
      <c r="B456" t="s">
        <v>12</v>
      </c>
      <c r="C456" t="s">
        <v>13</v>
      </c>
      <c r="D456" t="s">
        <v>26</v>
      </c>
      <c r="E456" t="s">
        <v>19</v>
      </c>
      <c r="F456">
        <v>20.77</v>
      </c>
      <c r="G456">
        <v>4</v>
      </c>
      <c r="H456">
        <v>4.1539999999999999</v>
      </c>
      <c r="I456">
        <v>87.233999999999995</v>
      </c>
      <c r="J456" s="3">
        <v>43496</v>
      </c>
      <c r="K456">
        <v>4.7</v>
      </c>
      <c r="L456" t="str" cm="1">
        <f t="array" ref="L456">_xlfn.IFS(Sales[[#This Row],[Rating]]&gt;8,"Super",Sales[[#This Row],[Rating]]&gt;=5,"Good",Sales[[#This Row],[Rating]]&lt;5,"Average")</f>
        <v>Average</v>
      </c>
      <c r="M456">
        <f t="shared" si="21"/>
        <v>1</v>
      </c>
      <c r="N456" t="str">
        <f t="shared" si="23"/>
        <v>Mar</v>
      </c>
      <c r="O456">
        <f t="shared" si="22"/>
        <v>2019</v>
      </c>
    </row>
    <row r="457" spans="1:15" x14ac:dyDescent="0.3">
      <c r="A457" t="s">
        <v>22</v>
      </c>
      <c r="B457" t="s">
        <v>23</v>
      </c>
      <c r="C457" t="s">
        <v>13</v>
      </c>
      <c r="D457" t="s">
        <v>14</v>
      </c>
      <c r="E457" t="s">
        <v>25</v>
      </c>
      <c r="F457">
        <v>29.56</v>
      </c>
      <c r="G457">
        <v>5</v>
      </c>
      <c r="H457">
        <v>7.39</v>
      </c>
      <c r="I457">
        <v>155.19</v>
      </c>
      <c r="J457" s="3">
        <v>43509</v>
      </c>
      <c r="K457">
        <v>6.9</v>
      </c>
      <c r="L457" t="str" cm="1">
        <f t="array" ref="L457">_xlfn.IFS(Sales[[#This Row],[Rating]]&gt;8,"Super",Sales[[#This Row],[Rating]]&gt;=5,"Good",Sales[[#This Row],[Rating]]&lt;5,"Average")</f>
        <v>Good</v>
      </c>
      <c r="M457">
        <f t="shared" si="21"/>
        <v>2</v>
      </c>
      <c r="N457" t="str">
        <f t="shared" si="23"/>
        <v>Jan</v>
      </c>
      <c r="O457">
        <f t="shared" si="22"/>
        <v>2019</v>
      </c>
    </row>
    <row r="458" spans="1:15" x14ac:dyDescent="0.3">
      <c r="A458" t="s">
        <v>22</v>
      </c>
      <c r="B458" t="s">
        <v>23</v>
      </c>
      <c r="C458" t="s">
        <v>13</v>
      </c>
      <c r="D458" t="s">
        <v>14</v>
      </c>
      <c r="E458" t="s">
        <v>24</v>
      </c>
      <c r="F458">
        <v>77.400000000000006</v>
      </c>
      <c r="G458">
        <v>9</v>
      </c>
      <c r="H458">
        <v>34.83</v>
      </c>
      <c r="I458">
        <v>731.43</v>
      </c>
      <c r="J458" s="3">
        <v>43511</v>
      </c>
      <c r="K458">
        <v>4.5</v>
      </c>
      <c r="L458" t="str" cm="1">
        <f t="array" ref="L458">_xlfn.IFS(Sales[[#This Row],[Rating]]&gt;8,"Super",Sales[[#This Row],[Rating]]&gt;=5,"Good",Sales[[#This Row],[Rating]]&lt;5,"Average")</f>
        <v>Average</v>
      </c>
      <c r="M458">
        <f t="shared" si="21"/>
        <v>2</v>
      </c>
      <c r="N458" t="str">
        <f t="shared" si="23"/>
        <v>Feb</v>
      </c>
      <c r="O458">
        <f t="shared" si="22"/>
        <v>2019</v>
      </c>
    </row>
    <row r="459" spans="1:15" x14ac:dyDescent="0.3">
      <c r="A459" t="s">
        <v>22</v>
      </c>
      <c r="B459" t="s">
        <v>23</v>
      </c>
      <c r="C459" t="s">
        <v>18</v>
      </c>
      <c r="D459" t="s">
        <v>26</v>
      </c>
      <c r="E459" t="s">
        <v>19</v>
      </c>
      <c r="F459">
        <v>79.39</v>
      </c>
      <c r="G459">
        <v>10</v>
      </c>
      <c r="H459">
        <v>39.695</v>
      </c>
      <c r="I459">
        <v>833.59500000000003</v>
      </c>
      <c r="J459" s="3">
        <v>43503</v>
      </c>
      <c r="K459">
        <v>6.2</v>
      </c>
      <c r="L459" t="str" cm="1">
        <f t="array" ref="L459">_xlfn.IFS(Sales[[#This Row],[Rating]]&gt;8,"Super",Sales[[#This Row],[Rating]]&gt;=5,"Good",Sales[[#This Row],[Rating]]&lt;5,"Average")</f>
        <v>Good</v>
      </c>
      <c r="M459">
        <f t="shared" si="21"/>
        <v>2</v>
      </c>
      <c r="N459" t="str">
        <f t="shared" si="23"/>
        <v>Feb</v>
      </c>
      <c r="O459">
        <f t="shared" si="22"/>
        <v>2019</v>
      </c>
    </row>
    <row r="460" spans="1:15" x14ac:dyDescent="0.3">
      <c r="A460" t="s">
        <v>16</v>
      </c>
      <c r="B460" t="s">
        <v>17</v>
      </c>
      <c r="C460" t="s">
        <v>13</v>
      </c>
      <c r="D460" t="s">
        <v>14</v>
      </c>
      <c r="E460" t="s">
        <v>19</v>
      </c>
      <c r="F460">
        <v>46.57</v>
      </c>
      <c r="G460">
        <v>10</v>
      </c>
      <c r="H460">
        <v>23.285</v>
      </c>
      <c r="I460">
        <v>488.98500000000001</v>
      </c>
      <c r="J460" s="3">
        <v>43492</v>
      </c>
      <c r="K460">
        <v>7.6</v>
      </c>
      <c r="L460" t="str" cm="1">
        <f t="array" ref="L460">_xlfn.IFS(Sales[[#This Row],[Rating]]&gt;8,"Super",Sales[[#This Row],[Rating]]&gt;=5,"Good",Sales[[#This Row],[Rating]]&lt;5,"Average")</f>
        <v>Good</v>
      </c>
      <c r="M460">
        <f t="shared" si="21"/>
        <v>1</v>
      </c>
      <c r="N460" t="str">
        <f t="shared" si="23"/>
        <v>Feb</v>
      </c>
      <c r="O460">
        <f t="shared" si="22"/>
        <v>2019</v>
      </c>
    </row>
    <row r="461" spans="1:15" x14ac:dyDescent="0.3">
      <c r="A461" t="s">
        <v>16</v>
      </c>
      <c r="B461" t="s">
        <v>17</v>
      </c>
      <c r="C461" t="s">
        <v>18</v>
      </c>
      <c r="D461" t="s">
        <v>26</v>
      </c>
      <c r="E461" t="s">
        <v>24</v>
      </c>
      <c r="F461">
        <v>35.89</v>
      </c>
      <c r="G461">
        <v>1</v>
      </c>
      <c r="H461">
        <v>1.7945</v>
      </c>
      <c r="I461">
        <v>37.6845</v>
      </c>
      <c r="J461" s="3">
        <v>43519</v>
      </c>
      <c r="K461">
        <v>7.9</v>
      </c>
      <c r="L461" t="str" cm="1">
        <f t="array" ref="L461">_xlfn.IFS(Sales[[#This Row],[Rating]]&gt;8,"Super",Sales[[#This Row],[Rating]]&gt;=5,"Good",Sales[[#This Row],[Rating]]&lt;5,"Average")</f>
        <v>Good</v>
      </c>
      <c r="M461">
        <f t="shared" si="21"/>
        <v>2</v>
      </c>
      <c r="N461" t="str">
        <f t="shared" si="23"/>
        <v>Jan</v>
      </c>
      <c r="O461">
        <f t="shared" si="22"/>
        <v>2019</v>
      </c>
    </row>
    <row r="462" spans="1:15" x14ac:dyDescent="0.3">
      <c r="A462" t="s">
        <v>16</v>
      </c>
      <c r="B462" t="s">
        <v>17</v>
      </c>
      <c r="C462" t="s">
        <v>18</v>
      </c>
      <c r="D462" t="s">
        <v>26</v>
      </c>
      <c r="E462" t="s">
        <v>24</v>
      </c>
      <c r="F462">
        <v>40.520000000000003</v>
      </c>
      <c r="G462">
        <v>5</v>
      </c>
      <c r="H462">
        <v>10.130000000000001</v>
      </c>
      <c r="I462">
        <v>212.73</v>
      </c>
      <c r="J462" s="3">
        <v>43499</v>
      </c>
      <c r="K462">
        <v>4.5</v>
      </c>
      <c r="L462" t="str" cm="1">
        <f t="array" ref="L462">_xlfn.IFS(Sales[[#This Row],[Rating]]&gt;8,"Super",Sales[[#This Row],[Rating]]&gt;=5,"Good",Sales[[#This Row],[Rating]]&lt;5,"Average")</f>
        <v>Average</v>
      </c>
      <c r="M462">
        <f t="shared" si="21"/>
        <v>2</v>
      </c>
      <c r="N462" t="str">
        <f t="shared" si="23"/>
        <v>Feb</v>
      </c>
      <c r="O462">
        <f t="shared" si="22"/>
        <v>2019</v>
      </c>
    </row>
    <row r="463" spans="1:15" x14ac:dyDescent="0.3">
      <c r="A463" t="s">
        <v>22</v>
      </c>
      <c r="B463" t="s">
        <v>23</v>
      </c>
      <c r="C463" t="s">
        <v>13</v>
      </c>
      <c r="D463" t="s">
        <v>14</v>
      </c>
      <c r="E463" t="s">
        <v>24</v>
      </c>
      <c r="F463">
        <v>73.05</v>
      </c>
      <c r="G463">
        <v>10</v>
      </c>
      <c r="H463">
        <v>36.524999999999999</v>
      </c>
      <c r="I463">
        <v>767.02499999999998</v>
      </c>
      <c r="J463" s="3">
        <v>43527</v>
      </c>
      <c r="K463">
        <v>8.6999999999999993</v>
      </c>
      <c r="L463" t="str" cm="1">
        <f t="array" ref="L463">_xlfn.IFS(Sales[[#This Row],[Rating]]&gt;8,"Super",Sales[[#This Row],[Rating]]&gt;=5,"Good",Sales[[#This Row],[Rating]]&lt;5,"Average")</f>
        <v>Super</v>
      </c>
      <c r="M463">
        <f t="shared" si="21"/>
        <v>3</v>
      </c>
      <c r="N463" t="str">
        <f t="shared" si="23"/>
        <v>Feb</v>
      </c>
      <c r="O463">
        <f t="shared" si="22"/>
        <v>2019</v>
      </c>
    </row>
    <row r="464" spans="1:15" x14ac:dyDescent="0.3">
      <c r="A464" t="s">
        <v>16</v>
      </c>
      <c r="B464" t="s">
        <v>17</v>
      </c>
      <c r="C464" t="s">
        <v>18</v>
      </c>
      <c r="D464" t="s">
        <v>14</v>
      </c>
      <c r="E464" t="s">
        <v>21</v>
      </c>
      <c r="F464">
        <v>73.95</v>
      </c>
      <c r="G464">
        <v>4</v>
      </c>
      <c r="H464">
        <v>14.79</v>
      </c>
      <c r="I464">
        <v>310.58999999999997</v>
      </c>
      <c r="J464" s="3">
        <v>43499</v>
      </c>
      <c r="K464">
        <v>6.1</v>
      </c>
      <c r="L464" t="str" cm="1">
        <f t="array" ref="L464">_xlfn.IFS(Sales[[#This Row],[Rating]]&gt;8,"Super",Sales[[#This Row],[Rating]]&gt;=5,"Good",Sales[[#This Row],[Rating]]&lt;5,"Average")</f>
        <v>Good</v>
      </c>
      <c r="M464">
        <f t="shared" si="21"/>
        <v>2</v>
      </c>
      <c r="N464" t="str">
        <f t="shared" si="23"/>
        <v>Mar</v>
      </c>
      <c r="O464">
        <f t="shared" si="22"/>
        <v>2019</v>
      </c>
    </row>
    <row r="465" spans="1:15" x14ac:dyDescent="0.3">
      <c r="A465" t="s">
        <v>16</v>
      </c>
      <c r="B465" t="s">
        <v>17</v>
      </c>
      <c r="C465" t="s">
        <v>13</v>
      </c>
      <c r="D465" t="s">
        <v>14</v>
      </c>
      <c r="E465" t="s">
        <v>24</v>
      </c>
      <c r="F465">
        <v>22.62</v>
      </c>
      <c r="G465">
        <v>1</v>
      </c>
      <c r="H465">
        <v>1.131</v>
      </c>
      <c r="I465">
        <v>23.751000000000001</v>
      </c>
      <c r="J465" s="3">
        <v>43541</v>
      </c>
      <c r="K465">
        <v>6.4</v>
      </c>
      <c r="L465" t="str" cm="1">
        <f t="array" ref="L465">_xlfn.IFS(Sales[[#This Row],[Rating]]&gt;8,"Super",Sales[[#This Row],[Rating]]&gt;=5,"Good",Sales[[#This Row],[Rating]]&lt;5,"Average")</f>
        <v>Good</v>
      </c>
      <c r="M465">
        <f t="shared" si="21"/>
        <v>3</v>
      </c>
      <c r="N465" t="str">
        <f t="shared" si="23"/>
        <v>Feb</v>
      </c>
      <c r="O465">
        <f t="shared" si="22"/>
        <v>2019</v>
      </c>
    </row>
    <row r="466" spans="1:15" x14ac:dyDescent="0.3">
      <c r="A466" t="s">
        <v>11</v>
      </c>
      <c r="B466" t="s">
        <v>12</v>
      </c>
      <c r="C466" t="s">
        <v>13</v>
      </c>
      <c r="D466" t="s">
        <v>26</v>
      </c>
      <c r="E466" t="s">
        <v>24</v>
      </c>
      <c r="F466">
        <v>51.34</v>
      </c>
      <c r="G466">
        <v>5</v>
      </c>
      <c r="H466">
        <v>12.835000000000001</v>
      </c>
      <c r="I466">
        <v>269.53500000000003</v>
      </c>
      <c r="J466" s="3">
        <v>43552</v>
      </c>
      <c r="K466">
        <v>9.1</v>
      </c>
      <c r="L466" t="str" cm="1">
        <f t="array" ref="L466">_xlfn.IFS(Sales[[#This Row],[Rating]]&gt;8,"Super",Sales[[#This Row],[Rating]]&gt;=5,"Good",Sales[[#This Row],[Rating]]&lt;5,"Average")</f>
        <v>Super</v>
      </c>
      <c r="M466">
        <f t="shared" si="21"/>
        <v>3</v>
      </c>
      <c r="N466" t="str">
        <f t="shared" si="23"/>
        <v>Mar</v>
      </c>
      <c r="O466">
        <f t="shared" si="22"/>
        <v>2019</v>
      </c>
    </row>
    <row r="467" spans="1:15" x14ac:dyDescent="0.3">
      <c r="A467" t="s">
        <v>16</v>
      </c>
      <c r="B467" t="s">
        <v>17</v>
      </c>
      <c r="C467" t="s">
        <v>13</v>
      </c>
      <c r="D467" t="s">
        <v>14</v>
      </c>
      <c r="E467" t="s">
        <v>21</v>
      </c>
      <c r="F467">
        <v>54.55</v>
      </c>
      <c r="G467">
        <v>10</v>
      </c>
      <c r="H467">
        <v>27.274999999999999</v>
      </c>
      <c r="I467">
        <v>572.77499999999998</v>
      </c>
      <c r="J467" s="3">
        <v>43526</v>
      </c>
      <c r="K467">
        <v>7.1</v>
      </c>
      <c r="L467" t="str" cm="1">
        <f t="array" ref="L467">_xlfn.IFS(Sales[[#This Row],[Rating]]&gt;8,"Super",Sales[[#This Row],[Rating]]&gt;=5,"Good",Sales[[#This Row],[Rating]]&lt;5,"Average")</f>
        <v>Good</v>
      </c>
      <c r="M467">
        <f t="shared" si="21"/>
        <v>3</v>
      </c>
      <c r="N467" t="str">
        <f t="shared" si="23"/>
        <v>Mar</v>
      </c>
      <c r="O467">
        <f t="shared" si="22"/>
        <v>2019</v>
      </c>
    </row>
    <row r="468" spans="1:15" x14ac:dyDescent="0.3">
      <c r="A468" t="s">
        <v>16</v>
      </c>
      <c r="B468" t="s">
        <v>17</v>
      </c>
      <c r="C468" t="s">
        <v>13</v>
      </c>
      <c r="D468" t="s">
        <v>14</v>
      </c>
      <c r="E468" t="s">
        <v>15</v>
      </c>
      <c r="F468">
        <v>37.15</v>
      </c>
      <c r="G468">
        <v>7</v>
      </c>
      <c r="H468">
        <v>13.0025</v>
      </c>
      <c r="I468">
        <v>273.05250000000001</v>
      </c>
      <c r="J468" s="3">
        <v>43504</v>
      </c>
      <c r="K468">
        <v>7.7</v>
      </c>
      <c r="L468" t="str" cm="1">
        <f t="array" ref="L468">_xlfn.IFS(Sales[[#This Row],[Rating]]&gt;8,"Super",Sales[[#This Row],[Rating]]&gt;=5,"Good",Sales[[#This Row],[Rating]]&lt;5,"Average")</f>
        <v>Good</v>
      </c>
      <c r="M468">
        <f t="shared" si="21"/>
        <v>2</v>
      </c>
      <c r="N468" t="str">
        <f t="shared" si="23"/>
        <v>Mar</v>
      </c>
      <c r="O468">
        <f t="shared" si="22"/>
        <v>2019</v>
      </c>
    </row>
    <row r="469" spans="1:15" x14ac:dyDescent="0.3">
      <c r="A469" t="s">
        <v>22</v>
      </c>
      <c r="B469" t="s">
        <v>23</v>
      </c>
      <c r="C469" t="s">
        <v>18</v>
      </c>
      <c r="D469" t="s">
        <v>26</v>
      </c>
      <c r="E469" t="s">
        <v>21</v>
      </c>
      <c r="F469">
        <v>37.020000000000003</v>
      </c>
      <c r="G469">
        <v>6</v>
      </c>
      <c r="H469">
        <v>11.106</v>
      </c>
      <c r="I469">
        <v>233.226</v>
      </c>
      <c r="J469" s="3">
        <v>43546</v>
      </c>
      <c r="K469">
        <v>4.5</v>
      </c>
      <c r="L469" t="str" cm="1">
        <f t="array" ref="L469">_xlfn.IFS(Sales[[#This Row],[Rating]]&gt;8,"Super",Sales[[#This Row],[Rating]]&gt;=5,"Good",Sales[[#This Row],[Rating]]&lt;5,"Average")</f>
        <v>Average</v>
      </c>
      <c r="M469">
        <f t="shared" si="21"/>
        <v>3</v>
      </c>
      <c r="N469" t="str">
        <f t="shared" si="23"/>
        <v>Feb</v>
      </c>
      <c r="O469">
        <f t="shared" si="22"/>
        <v>2019</v>
      </c>
    </row>
    <row r="470" spans="1:15" x14ac:dyDescent="0.3">
      <c r="A470" t="s">
        <v>16</v>
      </c>
      <c r="B470" t="s">
        <v>17</v>
      </c>
      <c r="C470" t="s">
        <v>18</v>
      </c>
      <c r="D470" t="s">
        <v>26</v>
      </c>
      <c r="E470" t="s">
        <v>24</v>
      </c>
      <c r="F470">
        <v>21.58</v>
      </c>
      <c r="G470">
        <v>1</v>
      </c>
      <c r="H470">
        <v>1.079</v>
      </c>
      <c r="I470">
        <v>22.658999999999999</v>
      </c>
      <c r="J470" s="3">
        <v>43505</v>
      </c>
      <c r="K470">
        <v>7.2</v>
      </c>
      <c r="L470" t="str" cm="1">
        <f t="array" ref="L470">_xlfn.IFS(Sales[[#This Row],[Rating]]&gt;8,"Super",Sales[[#This Row],[Rating]]&gt;=5,"Good",Sales[[#This Row],[Rating]]&lt;5,"Average")</f>
        <v>Good</v>
      </c>
      <c r="M470">
        <f t="shared" si="21"/>
        <v>2</v>
      </c>
      <c r="N470" t="str">
        <f t="shared" si="23"/>
        <v>Mar</v>
      </c>
      <c r="O470">
        <f t="shared" si="22"/>
        <v>2019</v>
      </c>
    </row>
    <row r="471" spans="1:15" x14ac:dyDescent="0.3">
      <c r="A471" t="s">
        <v>16</v>
      </c>
      <c r="B471" t="s">
        <v>17</v>
      </c>
      <c r="C471" t="s">
        <v>13</v>
      </c>
      <c r="D471" t="s">
        <v>14</v>
      </c>
      <c r="E471" t="s">
        <v>19</v>
      </c>
      <c r="F471">
        <v>98.84</v>
      </c>
      <c r="G471">
        <v>1</v>
      </c>
      <c r="H471">
        <v>4.9420000000000002</v>
      </c>
      <c r="I471">
        <v>103.782</v>
      </c>
      <c r="J471" s="3">
        <v>43511</v>
      </c>
      <c r="K471">
        <v>8.4</v>
      </c>
      <c r="L471" t="str" cm="1">
        <f t="array" ref="L471">_xlfn.IFS(Sales[[#This Row],[Rating]]&gt;8,"Super",Sales[[#This Row],[Rating]]&gt;=5,"Good",Sales[[#This Row],[Rating]]&lt;5,"Average")</f>
        <v>Super</v>
      </c>
      <c r="M471">
        <f t="shared" si="21"/>
        <v>2</v>
      </c>
      <c r="N471" t="str">
        <f t="shared" si="23"/>
        <v>Feb</v>
      </c>
      <c r="O471">
        <f t="shared" si="22"/>
        <v>2019</v>
      </c>
    </row>
    <row r="472" spans="1:15" x14ac:dyDescent="0.3">
      <c r="A472" t="s">
        <v>16</v>
      </c>
      <c r="B472" t="s">
        <v>17</v>
      </c>
      <c r="C472" t="s">
        <v>13</v>
      </c>
      <c r="D472" t="s">
        <v>14</v>
      </c>
      <c r="E472" t="s">
        <v>20</v>
      </c>
      <c r="F472">
        <v>83.77</v>
      </c>
      <c r="G472">
        <v>6</v>
      </c>
      <c r="H472">
        <v>25.131</v>
      </c>
      <c r="I472">
        <v>527.75099999999998</v>
      </c>
      <c r="J472" s="3">
        <v>43488</v>
      </c>
      <c r="K472">
        <v>5.4</v>
      </c>
      <c r="L472" t="str" cm="1">
        <f t="array" ref="L472">_xlfn.IFS(Sales[[#This Row],[Rating]]&gt;8,"Super",Sales[[#This Row],[Rating]]&gt;=5,"Good",Sales[[#This Row],[Rating]]&lt;5,"Average")</f>
        <v>Good</v>
      </c>
      <c r="M472">
        <f t="shared" si="21"/>
        <v>1</v>
      </c>
      <c r="N472" t="str">
        <f t="shared" si="23"/>
        <v>Feb</v>
      </c>
      <c r="O472">
        <f t="shared" si="22"/>
        <v>2019</v>
      </c>
    </row>
    <row r="473" spans="1:15" x14ac:dyDescent="0.3">
      <c r="A473" t="s">
        <v>11</v>
      </c>
      <c r="B473" t="s">
        <v>12</v>
      </c>
      <c r="C473" t="s">
        <v>13</v>
      </c>
      <c r="D473" t="s">
        <v>14</v>
      </c>
      <c r="E473" t="s">
        <v>21</v>
      </c>
      <c r="F473">
        <v>40.049999999999997</v>
      </c>
      <c r="G473">
        <v>4</v>
      </c>
      <c r="H473">
        <v>8.01</v>
      </c>
      <c r="I473">
        <v>168.21</v>
      </c>
      <c r="J473" s="3">
        <v>43490</v>
      </c>
      <c r="K473">
        <v>9.6999999999999993</v>
      </c>
      <c r="L473" t="str" cm="1">
        <f t="array" ref="L473">_xlfn.IFS(Sales[[#This Row],[Rating]]&gt;8,"Super",Sales[[#This Row],[Rating]]&gt;=5,"Good",Sales[[#This Row],[Rating]]&lt;5,"Average")</f>
        <v>Super</v>
      </c>
      <c r="M473">
        <f t="shared" si="21"/>
        <v>1</v>
      </c>
      <c r="N473" t="str">
        <f t="shared" si="23"/>
        <v>Jan</v>
      </c>
      <c r="O473">
        <f t="shared" si="22"/>
        <v>2019</v>
      </c>
    </row>
    <row r="474" spans="1:15" x14ac:dyDescent="0.3">
      <c r="A474" t="s">
        <v>11</v>
      </c>
      <c r="B474" t="s">
        <v>12</v>
      </c>
      <c r="C474" t="s">
        <v>13</v>
      </c>
      <c r="D474" t="s">
        <v>26</v>
      </c>
      <c r="E474" t="s">
        <v>25</v>
      </c>
      <c r="F474">
        <v>43.13</v>
      </c>
      <c r="G474">
        <v>10</v>
      </c>
      <c r="H474">
        <v>21.565000000000001</v>
      </c>
      <c r="I474">
        <v>452.86500000000001</v>
      </c>
      <c r="J474" s="3">
        <v>43498</v>
      </c>
      <c r="K474">
        <v>5.5</v>
      </c>
      <c r="L474" t="str" cm="1">
        <f t="array" ref="L474">_xlfn.IFS(Sales[[#This Row],[Rating]]&gt;8,"Super",Sales[[#This Row],[Rating]]&gt;=5,"Good",Sales[[#This Row],[Rating]]&lt;5,"Average")</f>
        <v>Good</v>
      </c>
      <c r="M474">
        <f t="shared" si="21"/>
        <v>2</v>
      </c>
      <c r="N474" t="str">
        <f t="shared" si="23"/>
        <v>Jan</v>
      </c>
      <c r="O474">
        <f t="shared" si="22"/>
        <v>2019</v>
      </c>
    </row>
    <row r="475" spans="1:15" x14ac:dyDescent="0.3">
      <c r="A475" t="s">
        <v>22</v>
      </c>
      <c r="B475" t="s">
        <v>23</v>
      </c>
      <c r="C475" t="s">
        <v>13</v>
      </c>
      <c r="D475" t="s">
        <v>26</v>
      </c>
      <c r="E475" t="s">
        <v>15</v>
      </c>
      <c r="F475">
        <v>72.569999999999993</v>
      </c>
      <c r="G475">
        <v>8</v>
      </c>
      <c r="H475">
        <v>29.027999999999999</v>
      </c>
      <c r="I475">
        <v>609.58799999999997</v>
      </c>
      <c r="J475" s="3">
        <v>43554</v>
      </c>
      <c r="K475">
        <v>4.5999999999999996</v>
      </c>
      <c r="L475" t="str" cm="1">
        <f t="array" ref="L475">_xlfn.IFS(Sales[[#This Row],[Rating]]&gt;8,"Super",Sales[[#This Row],[Rating]]&gt;=5,"Good",Sales[[#This Row],[Rating]]&lt;5,"Average")</f>
        <v>Average</v>
      </c>
      <c r="M475">
        <f t="shared" si="21"/>
        <v>3</v>
      </c>
      <c r="N475" t="str">
        <f t="shared" si="23"/>
        <v>Feb</v>
      </c>
      <c r="O475">
        <f t="shared" si="22"/>
        <v>2019</v>
      </c>
    </row>
    <row r="476" spans="1:15" x14ac:dyDescent="0.3">
      <c r="A476" t="s">
        <v>11</v>
      </c>
      <c r="B476" t="s">
        <v>12</v>
      </c>
      <c r="C476" t="s">
        <v>13</v>
      </c>
      <c r="D476" t="s">
        <v>14</v>
      </c>
      <c r="E476" t="s">
        <v>19</v>
      </c>
      <c r="F476">
        <v>64.44</v>
      </c>
      <c r="G476">
        <v>5</v>
      </c>
      <c r="H476">
        <v>16.11</v>
      </c>
      <c r="I476">
        <v>338.31</v>
      </c>
      <c r="J476" s="3">
        <v>43554</v>
      </c>
      <c r="K476">
        <v>6.6</v>
      </c>
      <c r="L476" t="str" cm="1">
        <f t="array" ref="L476">_xlfn.IFS(Sales[[#This Row],[Rating]]&gt;8,"Super",Sales[[#This Row],[Rating]]&gt;=5,"Good",Sales[[#This Row],[Rating]]&lt;5,"Average")</f>
        <v>Good</v>
      </c>
      <c r="M476">
        <f t="shared" si="21"/>
        <v>3</v>
      </c>
      <c r="N476" t="str">
        <f t="shared" si="23"/>
        <v>Mar</v>
      </c>
      <c r="O476">
        <f t="shared" si="22"/>
        <v>2019</v>
      </c>
    </row>
    <row r="477" spans="1:15" x14ac:dyDescent="0.3">
      <c r="A477" t="s">
        <v>11</v>
      </c>
      <c r="B477" t="s">
        <v>12</v>
      </c>
      <c r="C477" t="s">
        <v>18</v>
      </c>
      <c r="D477" t="s">
        <v>26</v>
      </c>
      <c r="E477" t="s">
        <v>15</v>
      </c>
      <c r="F477">
        <v>65.180000000000007</v>
      </c>
      <c r="G477">
        <v>3</v>
      </c>
      <c r="H477">
        <v>9.7769999999999992</v>
      </c>
      <c r="I477">
        <v>205.31700000000001</v>
      </c>
      <c r="J477" s="3">
        <v>43521</v>
      </c>
      <c r="K477">
        <v>6.3</v>
      </c>
      <c r="L477" t="str" cm="1">
        <f t="array" ref="L477">_xlfn.IFS(Sales[[#This Row],[Rating]]&gt;8,"Super",Sales[[#This Row],[Rating]]&gt;=5,"Good",Sales[[#This Row],[Rating]]&lt;5,"Average")</f>
        <v>Good</v>
      </c>
      <c r="M477">
        <f t="shared" si="21"/>
        <v>2</v>
      </c>
      <c r="N477" t="str">
        <f t="shared" si="23"/>
        <v>Mar</v>
      </c>
      <c r="O477">
        <f t="shared" si="22"/>
        <v>2019</v>
      </c>
    </row>
    <row r="478" spans="1:15" x14ac:dyDescent="0.3">
      <c r="A478" t="s">
        <v>11</v>
      </c>
      <c r="B478" t="s">
        <v>12</v>
      </c>
      <c r="C478" t="s">
        <v>18</v>
      </c>
      <c r="D478" t="s">
        <v>14</v>
      </c>
      <c r="E478" t="s">
        <v>21</v>
      </c>
      <c r="F478">
        <v>33.26</v>
      </c>
      <c r="G478">
        <v>5</v>
      </c>
      <c r="H478">
        <v>8.3149999999999995</v>
      </c>
      <c r="I478">
        <v>174.61500000000001</v>
      </c>
      <c r="J478" s="3">
        <v>43542</v>
      </c>
      <c r="K478">
        <v>4.2</v>
      </c>
      <c r="L478" t="str" cm="1">
        <f t="array" ref="L478">_xlfn.IFS(Sales[[#This Row],[Rating]]&gt;8,"Super",Sales[[#This Row],[Rating]]&gt;=5,"Good",Sales[[#This Row],[Rating]]&lt;5,"Average")</f>
        <v>Average</v>
      </c>
      <c r="M478">
        <f t="shared" si="21"/>
        <v>3</v>
      </c>
      <c r="N478" t="str">
        <f t="shared" si="23"/>
        <v>Feb</v>
      </c>
      <c r="O478">
        <f t="shared" si="22"/>
        <v>2019</v>
      </c>
    </row>
    <row r="479" spans="1:15" x14ac:dyDescent="0.3">
      <c r="A479" t="s">
        <v>16</v>
      </c>
      <c r="B479" t="s">
        <v>17</v>
      </c>
      <c r="C479" t="s">
        <v>18</v>
      </c>
      <c r="D479" t="s">
        <v>26</v>
      </c>
      <c r="E479" t="s">
        <v>19</v>
      </c>
      <c r="F479">
        <v>84.07</v>
      </c>
      <c r="G479">
        <v>4</v>
      </c>
      <c r="H479">
        <v>16.814</v>
      </c>
      <c r="I479">
        <v>353.09399999999999</v>
      </c>
      <c r="J479" s="3">
        <v>43531</v>
      </c>
      <c r="K479">
        <v>4.4000000000000004</v>
      </c>
      <c r="L479" t="str" cm="1">
        <f t="array" ref="L479">_xlfn.IFS(Sales[[#This Row],[Rating]]&gt;8,"Super",Sales[[#This Row],[Rating]]&gt;=5,"Good",Sales[[#This Row],[Rating]]&lt;5,"Average")</f>
        <v>Average</v>
      </c>
      <c r="M479">
        <f t="shared" si="21"/>
        <v>3</v>
      </c>
      <c r="N479" t="str">
        <f t="shared" si="23"/>
        <v>Mar</v>
      </c>
      <c r="O479">
        <f t="shared" si="22"/>
        <v>2019</v>
      </c>
    </row>
    <row r="480" spans="1:15" x14ac:dyDescent="0.3">
      <c r="A480" t="s">
        <v>22</v>
      </c>
      <c r="B480" t="s">
        <v>23</v>
      </c>
      <c r="C480" t="s">
        <v>18</v>
      </c>
      <c r="D480" t="s">
        <v>26</v>
      </c>
      <c r="E480" t="s">
        <v>21</v>
      </c>
      <c r="F480">
        <v>34.369999999999997</v>
      </c>
      <c r="G480">
        <v>10</v>
      </c>
      <c r="H480">
        <v>17.184999999999999</v>
      </c>
      <c r="I480">
        <v>360.88499999999999</v>
      </c>
      <c r="J480" s="3">
        <v>43540</v>
      </c>
      <c r="K480">
        <v>6.7</v>
      </c>
      <c r="L480" t="str" cm="1">
        <f t="array" ref="L480">_xlfn.IFS(Sales[[#This Row],[Rating]]&gt;8,"Super",Sales[[#This Row],[Rating]]&gt;=5,"Good",Sales[[#This Row],[Rating]]&lt;5,"Average")</f>
        <v>Good</v>
      </c>
      <c r="M480">
        <f t="shared" si="21"/>
        <v>3</v>
      </c>
      <c r="N480" t="str">
        <f t="shared" si="23"/>
        <v>Mar</v>
      </c>
      <c r="O480">
        <f t="shared" si="22"/>
        <v>2019</v>
      </c>
    </row>
    <row r="481" spans="1:15" x14ac:dyDescent="0.3">
      <c r="A481" t="s">
        <v>11</v>
      </c>
      <c r="B481" t="s">
        <v>12</v>
      </c>
      <c r="C481" t="s">
        <v>18</v>
      </c>
      <c r="D481" t="s">
        <v>26</v>
      </c>
      <c r="E481" t="s">
        <v>19</v>
      </c>
      <c r="F481">
        <v>38.6</v>
      </c>
      <c r="G481">
        <v>1</v>
      </c>
      <c r="H481">
        <v>1.93</v>
      </c>
      <c r="I481">
        <v>40.53</v>
      </c>
      <c r="J481" s="3">
        <v>43494</v>
      </c>
      <c r="K481">
        <v>6.7</v>
      </c>
      <c r="L481" t="str" cm="1">
        <f t="array" ref="L481">_xlfn.IFS(Sales[[#This Row],[Rating]]&gt;8,"Super",Sales[[#This Row],[Rating]]&gt;=5,"Good",Sales[[#This Row],[Rating]]&lt;5,"Average")</f>
        <v>Good</v>
      </c>
      <c r="M481">
        <f t="shared" si="21"/>
        <v>1</v>
      </c>
      <c r="N481" t="str">
        <f t="shared" si="23"/>
        <v>Mar</v>
      </c>
      <c r="O481">
        <f t="shared" si="22"/>
        <v>2019</v>
      </c>
    </row>
    <row r="482" spans="1:15" x14ac:dyDescent="0.3">
      <c r="A482" t="s">
        <v>16</v>
      </c>
      <c r="B482" t="s">
        <v>17</v>
      </c>
      <c r="C482" t="s">
        <v>18</v>
      </c>
      <c r="D482" t="s">
        <v>26</v>
      </c>
      <c r="E482" t="s">
        <v>24</v>
      </c>
      <c r="F482">
        <v>65.97</v>
      </c>
      <c r="G482">
        <v>8</v>
      </c>
      <c r="H482">
        <v>26.388000000000002</v>
      </c>
      <c r="I482">
        <v>554.14800000000002</v>
      </c>
      <c r="J482" s="3">
        <v>43498</v>
      </c>
      <c r="K482">
        <v>8.4</v>
      </c>
      <c r="L482" t="str" cm="1">
        <f t="array" ref="L482">_xlfn.IFS(Sales[[#This Row],[Rating]]&gt;8,"Super",Sales[[#This Row],[Rating]]&gt;=5,"Good",Sales[[#This Row],[Rating]]&lt;5,"Average")</f>
        <v>Super</v>
      </c>
      <c r="M482">
        <f t="shared" si="21"/>
        <v>2</v>
      </c>
      <c r="N482" t="str">
        <f t="shared" si="23"/>
        <v>Jan</v>
      </c>
      <c r="O482">
        <f t="shared" si="22"/>
        <v>2019</v>
      </c>
    </row>
    <row r="483" spans="1:15" x14ac:dyDescent="0.3">
      <c r="A483" t="s">
        <v>16</v>
      </c>
      <c r="B483" t="s">
        <v>17</v>
      </c>
      <c r="C483" t="s">
        <v>18</v>
      </c>
      <c r="D483" t="s">
        <v>14</v>
      </c>
      <c r="E483" t="s">
        <v>19</v>
      </c>
      <c r="F483">
        <v>32.799999999999997</v>
      </c>
      <c r="G483">
        <v>10</v>
      </c>
      <c r="H483">
        <v>16.399999999999999</v>
      </c>
      <c r="I483">
        <v>344.4</v>
      </c>
      <c r="J483" s="3">
        <v>43511</v>
      </c>
      <c r="K483">
        <v>6.2</v>
      </c>
      <c r="L483" t="str" cm="1">
        <f t="array" ref="L483">_xlfn.IFS(Sales[[#This Row],[Rating]]&gt;8,"Super",Sales[[#This Row],[Rating]]&gt;=5,"Good",Sales[[#This Row],[Rating]]&lt;5,"Average")</f>
        <v>Good</v>
      </c>
      <c r="M483">
        <f t="shared" si="21"/>
        <v>2</v>
      </c>
      <c r="N483" t="str">
        <f t="shared" si="23"/>
        <v>Feb</v>
      </c>
      <c r="O483">
        <f t="shared" si="22"/>
        <v>2019</v>
      </c>
    </row>
    <row r="484" spans="1:15" x14ac:dyDescent="0.3">
      <c r="A484" t="s">
        <v>11</v>
      </c>
      <c r="B484" t="s">
        <v>12</v>
      </c>
      <c r="C484" t="s">
        <v>18</v>
      </c>
      <c r="D484" t="s">
        <v>26</v>
      </c>
      <c r="E484" t="s">
        <v>21</v>
      </c>
      <c r="F484">
        <v>37.14</v>
      </c>
      <c r="G484">
        <v>5</v>
      </c>
      <c r="H484">
        <v>9.2850000000000001</v>
      </c>
      <c r="I484">
        <v>194.98500000000001</v>
      </c>
      <c r="J484" s="3">
        <v>43473</v>
      </c>
      <c r="K484">
        <v>5</v>
      </c>
      <c r="L484" t="str" cm="1">
        <f t="array" ref="L484">_xlfn.IFS(Sales[[#This Row],[Rating]]&gt;8,"Super",Sales[[#This Row],[Rating]]&gt;=5,"Good",Sales[[#This Row],[Rating]]&lt;5,"Average")</f>
        <v>Good</v>
      </c>
      <c r="M484">
        <f t="shared" si="21"/>
        <v>1</v>
      </c>
      <c r="N484" t="str">
        <f t="shared" si="23"/>
        <v>Feb</v>
      </c>
      <c r="O484">
        <f t="shared" si="22"/>
        <v>2019</v>
      </c>
    </row>
    <row r="485" spans="1:15" x14ac:dyDescent="0.3">
      <c r="A485" t="s">
        <v>22</v>
      </c>
      <c r="B485" t="s">
        <v>23</v>
      </c>
      <c r="C485" t="s">
        <v>13</v>
      </c>
      <c r="D485" t="s">
        <v>26</v>
      </c>
      <c r="E485" t="s">
        <v>20</v>
      </c>
      <c r="F485">
        <v>60.38</v>
      </c>
      <c r="G485">
        <v>10</v>
      </c>
      <c r="H485">
        <v>30.19</v>
      </c>
      <c r="I485">
        <v>633.99</v>
      </c>
      <c r="J485" s="3">
        <v>43508</v>
      </c>
      <c r="K485">
        <v>6</v>
      </c>
      <c r="L485" t="str" cm="1">
        <f t="array" ref="L485">_xlfn.IFS(Sales[[#This Row],[Rating]]&gt;8,"Super",Sales[[#This Row],[Rating]]&gt;=5,"Good",Sales[[#This Row],[Rating]]&lt;5,"Average")</f>
        <v>Good</v>
      </c>
      <c r="M485">
        <f t="shared" si="21"/>
        <v>2</v>
      </c>
      <c r="N485" t="str">
        <f t="shared" si="23"/>
        <v>Jan</v>
      </c>
      <c r="O485">
        <f t="shared" si="22"/>
        <v>2019</v>
      </c>
    </row>
    <row r="486" spans="1:15" x14ac:dyDescent="0.3">
      <c r="A486" t="s">
        <v>16</v>
      </c>
      <c r="B486" t="s">
        <v>17</v>
      </c>
      <c r="C486" t="s">
        <v>13</v>
      </c>
      <c r="D486" t="s">
        <v>14</v>
      </c>
      <c r="E486" t="s">
        <v>21</v>
      </c>
      <c r="F486">
        <v>36.979999999999997</v>
      </c>
      <c r="G486">
        <v>10</v>
      </c>
      <c r="H486">
        <v>18.489999999999998</v>
      </c>
      <c r="I486">
        <v>388.29</v>
      </c>
      <c r="J486" s="3">
        <v>43466</v>
      </c>
      <c r="K486">
        <v>7</v>
      </c>
      <c r="L486" t="str" cm="1">
        <f t="array" ref="L486">_xlfn.IFS(Sales[[#This Row],[Rating]]&gt;8,"Super",Sales[[#This Row],[Rating]]&gt;=5,"Good",Sales[[#This Row],[Rating]]&lt;5,"Average")</f>
        <v>Good</v>
      </c>
      <c r="M486">
        <f t="shared" si="21"/>
        <v>1</v>
      </c>
      <c r="N486" t="str">
        <f t="shared" si="23"/>
        <v>Feb</v>
      </c>
      <c r="O486">
        <f t="shared" si="22"/>
        <v>2019</v>
      </c>
    </row>
    <row r="487" spans="1:15" x14ac:dyDescent="0.3">
      <c r="A487" t="s">
        <v>22</v>
      </c>
      <c r="B487" t="s">
        <v>23</v>
      </c>
      <c r="C487" t="s">
        <v>13</v>
      </c>
      <c r="D487" t="s">
        <v>14</v>
      </c>
      <c r="E487" t="s">
        <v>21</v>
      </c>
      <c r="F487">
        <v>49.49</v>
      </c>
      <c r="G487">
        <v>4</v>
      </c>
      <c r="H487">
        <v>9.8979999999999997</v>
      </c>
      <c r="I487">
        <v>207.858</v>
      </c>
      <c r="J487" s="3">
        <v>43545</v>
      </c>
      <c r="K487">
        <v>6.6</v>
      </c>
      <c r="L487" t="str" cm="1">
        <f t="array" ref="L487">_xlfn.IFS(Sales[[#This Row],[Rating]]&gt;8,"Super",Sales[[#This Row],[Rating]]&gt;=5,"Good",Sales[[#This Row],[Rating]]&lt;5,"Average")</f>
        <v>Good</v>
      </c>
      <c r="M487">
        <f t="shared" si="21"/>
        <v>3</v>
      </c>
      <c r="N487" t="str">
        <f t="shared" si="23"/>
        <v>Jan</v>
      </c>
      <c r="O487">
        <f t="shared" si="22"/>
        <v>2019</v>
      </c>
    </row>
    <row r="488" spans="1:15" x14ac:dyDescent="0.3">
      <c r="A488" t="s">
        <v>22</v>
      </c>
      <c r="B488" t="s">
        <v>23</v>
      </c>
      <c r="C488" t="s">
        <v>18</v>
      </c>
      <c r="D488" t="s">
        <v>14</v>
      </c>
      <c r="E488" t="s">
        <v>25</v>
      </c>
      <c r="F488">
        <v>41.09</v>
      </c>
      <c r="G488">
        <v>10</v>
      </c>
      <c r="H488">
        <v>20.545000000000002</v>
      </c>
      <c r="I488">
        <v>431.44499999999999</v>
      </c>
      <c r="J488" s="3">
        <v>43524</v>
      </c>
      <c r="K488">
        <v>7.3</v>
      </c>
      <c r="L488" t="str" cm="1">
        <f t="array" ref="L488">_xlfn.IFS(Sales[[#This Row],[Rating]]&gt;8,"Super",Sales[[#This Row],[Rating]]&gt;=5,"Good",Sales[[#This Row],[Rating]]&lt;5,"Average")</f>
        <v>Good</v>
      </c>
      <c r="M488">
        <f t="shared" si="21"/>
        <v>2</v>
      </c>
      <c r="N488" t="str">
        <f t="shared" si="23"/>
        <v>Mar</v>
      </c>
      <c r="O488">
        <f t="shared" si="22"/>
        <v>2019</v>
      </c>
    </row>
    <row r="489" spans="1:15" x14ac:dyDescent="0.3">
      <c r="A489" t="s">
        <v>11</v>
      </c>
      <c r="B489" t="s">
        <v>12</v>
      </c>
      <c r="C489" t="s">
        <v>18</v>
      </c>
      <c r="D489" t="s">
        <v>26</v>
      </c>
      <c r="E489" t="s">
        <v>25</v>
      </c>
      <c r="F489">
        <v>37.15</v>
      </c>
      <c r="G489">
        <v>4</v>
      </c>
      <c r="H489">
        <v>7.43</v>
      </c>
      <c r="I489">
        <v>156.03</v>
      </c>
      <c r="J489" s="3">
        <v>43547</v>
      </c>
      <c r="K489">
        <v>8.3000000000000007</v>
      </c>
      <c r="L489" t="str" cm="1">
        <f t="array" ref="L489">_xlfn.IFS(Sales[[#This Row],[Rating]]&gt;8,"Super",Sales[[#This Row],[Rating]]&gt;=5,"Good",Sales[[#This Row],[Rating]]&lt;5,"Average")</f>
        <v>Super</v>
      </c>
      <c r="M489">
        <f t="shared" si="21"/>
        <v>3</v>
      </c>
      <c r="N489" t="str">
        <f t="shared" si="23"/>
        <v>Feb</v>
      </c>
      <c r="O489">
        <f t="shared" si="22"/>
        <v>2019</v>
      </c>
    </row>
    <row r="490" spans="1:15" x14ac:dyDescent="0.3">
      <c r="A490" t="s">
        <v>16</v>
      </c>
      <c r="B490" t="s">
        <v>17</v>
      </c>
      <c r="C490" t="s">
        <v>18</v>
      </c>
      <c r="D490" t="s">
        <v>26</v>
      </c>
      <c r="E490" t="s">
        <v>20</v>
      </c>
      <c r="F490">
        <v>22.96</v>
      </c>
      <c r="G490">
        <v>1</v>
      </c>
      <c r="H490">
        <v>1.1479999999999999</v>
      </c>
      <c r="I490">
        <v>24.108000000000001</v>
      </c>
      <c r="J490" s="3">
        <v>43495</v>
      </c>
      <c r="K490">
        <v>4.3</v>
      </c>
      <c r="L490" t="str" cm="1">
        <f t="array" ref="L490">_xlfn.IFS(Sales[[#This Row],[Rating]]&gt;8,"Super",Sales[[#This Row],[Rating]]&gt;=5,"Good",Sales[[#This Row],[Rating]]&lt;5,"Average")</f>
        <v>Average</v>
      </c>
      <c r="M490">
        <f t="shared" si="21"/>
        <v>1</v>
      </c>
      <c r="N490" t="str">
        <f t="shared" si="23"/>
        <v>Mar</v>
      </c>
      <c r="O490">
        <f t="shared" si="22"/>
        <v>2019</v>
      </c>
    </row>
    <row r="491" spans="1:15" x14ac:dyDescent="0.3">
      <c r="A491" t="s">
        <v>22</v>
      </c>
      <c r="B491" t="s">
        <v>23</v>
      </c>
      <c r="C491" t="s">
        <v>13</v>
      </c>
      <c r="D491" t="s">
        <v>14</v>
      </c>
      <c r="E491" t="s">
        <v>20</v>
      </c>
      <c r="F491">
        <v>77.680000000000007</v>
      </c>
      <c r="G491">
        <v>9</v>
      </c>
      <c r="H491">
        <v>34.956000000000003</v>
      </c>
      <c r="I491">
        <v>734.07600000000002</v>
      </c>
      <c r="J491" s="3">
        <v>43500</v>
      </c>
      <c r="K491">
        <v>9.8000000000000007</v>
      </c>
      <c r="L491" t="str" cm="1">
        <f t="array" ref="L491">_xlfn.IFS(Sales[[#This Row],[Rating]]&gt;8,"Super",Sales[[#This Row],[Rating]]&gt;=5,"Good",Sales[[#This Row],[Rating]]&lt;5,"Average")</f>
        <v>Super</v>
      </c>
      <c r="M491">
        <f t="shared" si="21"/>
        <v>2</v>
      </c>
      <c r="N491" t="str">
        <f t="shared" si="23"/>
        <v>Jan</v>
      </c>
      <c r="O491">
        <f t="shared" si="22"/>
        <v>2019</v>
      </c>
    </row>
    <row r="492" spans="1:15" x14ac:dyDescent="0.3">
      <c r="A492" t="s">
        <v>22</v>
      </c>
      <c r="B492" t="s">
        <v>23</v>
      </c>
      <c r="C492" t="s">
        <v>18</v>
      </c>
      <c r="D492" t="s">
        <v>14</v>
      </c>
      <c r="E492" t="s">
        <v>25</v>
      </c>
      <c r="F492">
        <v>34.700000000000003</v>
      </c>
      <c r="G492">
        <v>2</v>
      </c>
      <c r="H492">
        <v>3.47</v>
      </c>
      <c r="I492">
        <v>72.87</v>
      </c>
      <c r="J492" s="3">
        <v>43537</v>
      </c>
      <c r="K492">
        <v>8.1999999999999993</v>
      </c>
      <c r="L492" t="str" cm="1">
        <f t="array" ref="L492">_xlfn.IFS(Sales[[#This Row],[Rating]]&gt;8,"Super",Sales[[#This Row],[Rating]]&gt;=5,"Good",Sales[[#This Row],[Rating]]&lt;5,"Average")</f>
        <v>Super</v>
      </c>
      <c r="M492">
        <f t="shared" si="21"/>
        <v>3</v>
      </c>
      <c r="N492" t="str">
        <f t="shared" si="23"/>
        <v>Feb</v>
      </c>
      <c r="O492">
        <f t="shared" si="22"/>
        <v>2019</v>
      </c>
    </row>
    <row r="493" spans="1:15" x14ac:dyDescent="0.3">
      <c r="A493" t="s">
        <v>11</v>
      </c>
      <c r="B493" t="s">
        <v>12</v>
      </c>
      <c r="C493" t="s">
        <v>13</v>
      </c>
      <c r="D493" t="s">
        <v>14</v>
      </c>
      <c r="E493" t="s">
        <v>25</v>
      </c>
      <c r="F493">
        <v>19.66</v>
      </c>
      <c r="G493">
        <v>10</v>
      </c>
      <c r="H493">
        <v>9.83</v>
      </c>
      <c r="I493">
        <v>206.43</v>
      </c>
      <c r="J493" s="3">
        <v>43539</v>
      </c>
      <c r="K493">
        <v>7.2</v>
      </c>
      <c r="L493" t="str" cm="1">
        <f t="array" ref="L493">_xlfn.IFS(Sales[[#This Row],[Rating]]&gt;8,"Super",Sales[[#This Row],[Rating]]&gt;=5,"Good",Sales[[#This Row],[Rating]]&lt;5,"Average")</f>
        <v>Good</v>
      </c>
      <c r="M493">
        <f t="shared" si="21"/>
        <v>3</v>
      </c>
      <c r="N493" t="str">
        <f t="shared" si="23"/>
        <v>Mar</v>
      </c>
      <c r="O493">
        <f t="shared" si="22"/>
        <v>2019</v>
      </c>
    </row>
    <row r="494" spans="1:15" x14ac:dyDescent="0.3">
      <c r="A494" t="s">
        <v>22</v>
      </c>
      <c r="B494" t="s">
        <v>23</v>
      </c>
      <c r="C494" t="s">
        <v>13</v>
      </c>
      <c r="D494" t="s">
        <v>14</v>
      </c>
      <c r="E494" t="s">
        <v>15</v>
      </c>
      <c r="F494">
        <v>25.32</v>
      </c>
      <c r="G494">
        <v>8</v>
      </c>
      <c r="H494">
        <v>10.128</v>
      </c>
      <c r="I494">
        <v>212.68799999999999</v>
      </c>
      <c r="J494" s="3">
        <v>43529</v>
      </c>
      <c r="K494">
        <v>8.6999999999999993</v>
      </c>
      <c r="L494" t="str" cm="1">
        <f t="array" ref="L494">_xlfn.IFS(Sales[[#This Row],[Rating]]&gt;8,"Super",Sales[[#This Row],[Rating]]&gt;=5,"Good",Sales[[#This Row],[Rating]]&lt;5,"Average")</f>
        <v>Super</v>
      </c>
      <c r="M494">
        <f t="shared" si="21"/>
        <v>3</v>
      </c>
      <c r="N494" t="str">
        <f t="shared" si="23"/>
        <v>Mar</v>
      </c>
      <c r="O494">
        <f t="shared" si="22"/>
        <v>2019</v>
      </c>
    </row>
    <row r="495" spans="1:15" x14ac:dyDescent="0.3">
      <c r="A495" t="s">
        <v>16</v>
      </c>
      <c r="B495" t="s">
        <v>17</v>
      </c>
      <c r="C495" t="s">
        <v>13</v>
      </c>
      <c r="D495" t="s">
        <v>14</v>
      </c>
      <c r="E495" t="s">
        <v>20</v>
      </c>
      <c r="F495">
        <v>12.12</v>
      </c>
      <c r="G495">
        <v>10</v>
      </c>
      <c r="H495">
        <v>6.06</v>
      </c>
      <c r="I495">
        <v>127.26</v>
      </c>
      <c r="J495" s="3">
        <v>43529</v>
      </c>
      <c r="K495">
        <v>8.4</v>
      </c>
      <c r="L495" t="str" cm="1">
        <f t="array" ref="L495">_xlfn.IFS(Sales[[#This Row],[Rating]]&gt;8,"Super",Sales[[#This Row],[Rating]]&gt;=5,"Good",Sales[[#This Row],[Rating]]&lt;5,"Average")</f>
        <v>Super</v>
      </c>
      <c r="M495">
        <f t="shared" si="21"/>
        <v>3</v>
      </c>
      <c r="N495" t="str">
        <f t="shared" si="23"/>
        <v>Mar</v>
      </c>
      <c r="O495">
        <f t="shared" si="22"/>
        <v>2019</v>
      </c>
    </row>
    <row r="496" spans="1:15" x14ac:dyDescent="0.3">
      <c r="A496" t="s">
        <v>22</v>
      </c>
      <c r="B496" t="s">
        <v>23</v>
      </c>
      <c r="C496" t="s">
        <v>18</v>
      </c>
      <c r="D496" t="s">
        <v>26</v>
      </c>
      <c r="E496" t="s">
        <v>25</v>
      </c>
      <c r="F496">
        <v>99.89</v>
      </c>
      <c r="G496">
        <v>2</v>
      </c>
      <c r="H496">
        <v>9.9890000000000008</v>
      </c>
      <c r="I496">
        <v>209.76900000000001</v>
      </c>
      <c r="J496" s="3">
        <v>43522</v>
      </c>
      <c r="K496">
        <v>7.1</v>
      </c>
      <c r="L496" t="str" cm="1">
        <f t="array" ref="L496">_xlfn.IFS(Sales[[#This Row],[Rating]]&gt;8,"Super",Sales[[#This Row],[Rating]]&gt;=5,"Good",Sales[[#This Row],[Rating]]&lt;5,"Average")</f>
        <v>Good</v>
      </c>
      <c r="M496">
        <f t="shared" si="21"/>
        <v>2</v>
      </c>
      <c r="N496" t="str">
        <f t="shared" si="23"/>
        <v>Mar</v>
      </c>
      <c r="O496">
        <f t="shared" si="22"/>
        <v>2019</v>
      </c>
    </row>
    <row r="497" spans="1:15" x14ac:dyDescent="0.3">
      <c r="A497" t="s">
        <v>22</v>
      </c>
      <c r="B497" t="s">
        <v>23</v>
      </c>
      <c r="C497" t="s">
        <v>18</v>
      </c>
      <c r="D497" t="s">
        <v>26</v>
      </c>
      <c r="E497" t="s">
        <v>21</v>
      </c>
      <c r="F497">
        <v>75.92</v>
      </c>
      <c r="G497">
        <v>8</v>
      </c>
      <c r="H497">
        <v>30.367999999999999</v>
      </c>
      <c r="I497">
        <v>637.72799999999995</v>
      </c>
      <c r="J497" s="3">
        <v>43544</v>
      </c>
      <c r="K497">
        <v>5.5</v>
      </c>
      <c r="L497" t="str" cm="1">
        <f t="array" ref="L497">_xlfn.IFS(Sales[[#This Row],[Rating]]&gt;8,"Super",Sales[[#This Row],[Rating]]&gt;=5,"Good",Sales[[#This Row],[Rating]]&lt;5,"Average")</f>
        <v>Good</v>
      </c>
      <c r="M497">
        <f t="shared" si="21"/>
        <v>3</v>
      </c>
      <c r="N497" t="str">
        <f t="shared" si="23"/>
        <v>Feb</v>
      </c>
      <c r="O497">
        <f t="shared" si="22"/>
        <v>2019</v>
      </c>
    </row>
    <row r="498" spans="1:15" x14ac:dyDescent="0.3">
      <c r="A498" t="s">
        <v>16</v>
      </c>
      <c r="B498" t="s">
        <v>17</v>
      </c>
      <c r="C498" t="s">
        <v>18</v>
      </c>
      <c r="D498" t="s">
        <v>14</v>
      </c>
      <c r="E498" t="s">
        <v>19</v>
      </c>
      <c r="F498">
        <v>63.22</v>
      </c>
      <c r="G498">
        <v>2</v>
      </c>
      <c r="H498">
        <v>6.3220000000000001</v>
      </c>
      <c r="I498">
        <v>132.762</v>
      </c>
      <c r="J498" s="3">
        <v>43466</v>
      </c>
      <c r="K498">
        <v>8.5</v>
      </c>
      <c r="L498" t="str" cm="1">
        <f t="array" ref="L498">_xlfn.IFS(Sales[[#This Row],[Rating]]&gt;8,"Super",Sales[[#This Row],[Rating]]&gt;=5,"Good",Sales[[#This Row],[Rating]]&lt;5,"Average")</f>
        <v>Super</v>
      </c>
      <c r="M498">
        <f t="shared" si="21"/>
        <v>1</v>
      </c>
      <c r="N498" t="str">
        <f t="shared" si="23"/>
        <v>Mar</v>
      </c>
      <c r="O498">
        <f t="shared" si="22"/>
        <v>2019</v>
      </c>
    </row>
    <row r="499" spans="1:15" x14ac:dyDescent="0.3">
      <c r="A499" t="s">
        <v>16</v>
      </c>
      <c r="B499" t="s">
        <v>17</v>
      </c>
      <c r="C499" t="s">
        <v>18</v>
      </c>
      <c r="D499" t="s">
        <v>14</v>
      </c>
      <c r="E499" t="s">
        <v>24</v>
      </c>
      <c r="F499">
        <v>90.24</v>
      </c>
      <c r="G499">
        <v>6</v>
      </c>
      <c r="H499">
        <v>27.071999999999999</v>
      </c>
      <c r="I499">
        <v>568.51199999999994</v>
      </c>
      <c r="J499" s="3">
        <v>43492</v>
      </c>
      <c r="K499">
        <v>6.2</v>
      </c>
      <c r="L499" t="str" cm="1">
        <f t="array" ref="L499">_xlfn.IFS(Sales[[#This Row],[Rating]]&gt;8,"Super",Sales[[#This Row],[Rating]]&gt;=5,"Good",Sales[[#This Row],[Rating]]&lt;5,"Average")</f>
        <v>Good</v>
      </c>
      <c r="M499">
        <f t="shared" si="21"/>
        <v>1</v>
      </c>
      <c r="N499" t="str">
        <f t="shared" si="23"/>
        <v>Jan</v>
      </c>
      <c r="O499">
        <f t="shared" si="22"/>
        <v>2019</v>
      </c>
    </row>
    <row r="500" spans="1:15" x14ac:dyDescent="0.3">
      <c r="A500" t="s">
        <v>22</v>
      </c>
      <c r="B500" t="s">
        <v>23</v>
      </c>
      <c r="C500" t="s">
        <v>13</v>
      </c>
      <c r="D500" t="s">
        <v>14</v>
      </c>
      <c r="E500" t="s">
        <v>21</v>
      </c>
      <c r="F500">
        <v>98.13</v>
      </c>
      <c r="G500">
        <v>1</v>
      </c>
      <c r="H500">
        <v>4.9065000000000003</v>
      </c>
      <c r="I500">
        <v>103.0365</v>
      </c>
      <c r="J500" s="3">
        <v>43486</v>
      </c>
      <c r="K500">
        <v>8.9</v>
      </c>
      <c r="L500" t="str" cm="1">
        <f t="array" ref="L500">_xlfn.IFS(Sales[[#This Row],[Rating]]&gt;8,"Super",Sales[[#This Row],[Rating]]&gt;=5,"Good",Sales[[#This Row],[Rating]]&lt;5,"Average")</f>
        <v>Super</v>
      </c>
      <c r="M500">
        <f t="shared" si="21"/>
        <v>1</v>
      </c>
      <c r="N500" t="str">
        <f t="shared" si="23"/>
        <v>Jan</v>
      </c>
      <c r="O500">
        <f t="shared" si="22"/>
        <v>2019</v>
      </c>
    </row>
    <row r="501" spans="1:15" x14ac:dyDescent="0.3">
      <c r="M501" s="1"/>
      <c r="N501" s="1"/>
    </row>
    <row r="502" spans="1:15" x14ac:dyDescent="0.3">
      <c r="M502" s="1"/>
      <c r="N502" s="1"/>
    </row>
    <row r="503" spans="1:15" x14ac:dyDescent="0.3">
      <c r="M503" s="1"/>
      <c r="N503" s="1"/>
    </row>
    <row r="508" spans="1:15" x14ac:dyDescent="0.3">
      <c r="M508" s="1"/>
      <c r="N508" s="1"/>
    </row>
    <row r="511" spans="1:15" x14ac:dyDescent="0.3">
      <c r="M511" s="1"/>
      <c r="N511" s="1"/>
    </row>
    <row r="513" spans="13:14" x14ac:dyDescent="0.3">
      <c r="M513" s="1"/>
      <c r="N513" s="1"/>
    </row>
    <row r="520" spans="13:14" x14ac:dyDescent="0.3">
      <c r="M520" s="1"/>
      <c r="N520" s="1"/>
    </row>
    <row r="524" spans="13:14" x14ac:dyDescent="0.3">
      <c r="M524" s="1"/>
      <c r="N524" s="1"/>
    </row>
    <row r="525" spans="13:14" x14ac:dyDescent="0.3">
      <c r="M525" s="1"/>
      <c r="N525" s="1"/>
    </row>
    <row r="530" spans="13:14" x14ac:dyDescent="0.3">
      <c r="M530" s="1"/>
      <c r="N530" s="1"/>
    </row>
    <row r="532" spans="13:14" x14ac:dyDescent="0.3">
      <c r="M532" s="1"/>
      <c r="N532" s="1"/>
    </row>
    <row r="534" spans="13:14" x14ac:dyDescent="0.3">
      <c r="M534" s="1"/>
      <c r="N534" s="1"/>
    </row>
    <row r="536" spans="13:14" x14ac:dyDescent="0.3">
      <c r="M536" s="1"/>
      <c r="N536" s="1"/>
    </row>
    <row r="537" spans="13:14" x14ac:dyDescent="0.3">
      <c r="M537" s="1"/>
      <c r="N537" s="1"/>
    </row>
    <row r="538" spans="13:14" x14ac:dyDescent="0.3">
      <c r="M538" s="1"/>
      <c r="N538" s="1"/>
    </row>
    <row r="539" spans="13:14" x14ac:dyDescent="0.3">
      <c r="M539" s="1"/>
      <c r="N539" s="1"/>
    </row>
    <row r="541" spans="13:14" x14ac:dyDescent="0.3">
      <c r="M541" s="1"/>
      <c r="N541" s="1"/>
    </row>
    <row r="543" spans="13:14" x14ac:dyDescent="0.3">
      <c r="M543" s="1"/>
      <c r="N543" s="1"/>
    </row>
    <row r="546" spans="13:14" x14ac:dyDescent="0.3">
      <c r="M546" s="1"/>
      <c r="N546" s="1"/>
    </row>
    <row r="548" spans="13:14" x14ac:dyDescent="0.3">
      <c r="M548" s="1"/>
      <c r="N548" s="1"/>
    </row>
    <row r="549" spans="13:14" x14ac:dyDescent="0.3">
      <c r="M549" s="1"/>
      <c r="N549" s="1"/>
    </row>
    <row r="552" spans="13:14" x14ac:dyDescent="0.3">
      <c r="M552" s="1"/>
      <c r="N552" s="1"/>
    </row>
    <row r="554" spans="13:14" x14ac:dyDescent="0.3">
      <c r="M554" s="1"/>
      <c r="N554" s="1"/>
    </row>
    <row r="555" spans="13:14" x14ac:dyDescent="0.3">
      <c r="M555" s="1"/>
      <c r="N555" s="1"/>
    </row>
    <row r="558" spans="13:14" x14ac:dyDescent="0.3">
      <c r="M558" s="1"/>
      <c r="N558" s="1"/>
    </row>
    <row r="560" spans="13:14" x14ac:dyDescent="0.3">
      <c r="M560" s="1"/>
      <c r="N560" s="1"/>
    </row>
    <row r="563" spans="13:14" x14ac:dyDescent="0.3">
      <c r="M563" s="1"/>
      <c r="N563" s="1"/>
    </row>
    <row r="568" spans="13:14" x14ac:dyDescent="0.3">
      <c r="M568" s="1"/>
      <c r="N568" s="1"/>
    </row>
    <row r="569" spans="13:14" x14ac:dyDescent="0.3">
      <c r="M569" s="1"/>
      <c r="N569" s="1"/>
    </row>
    <row r="570" spans="13:14" x14ac:dyDescent="0.3">
      <c r="M570" s="1"/>
      <c r="N570" s="1"/>
    </row>
    <row r="571" spans="13:14" x14ac:dyDescent="0.3">
      <c r="M571" s="1"/>
      <c r="N571" s="1"/>
    </row>
    <row r="574" spans="13:14" x14ac:dyDescent="0.3">
      <c r="M574" s="1"/>
      <c r="N574" s="1"/>
    </row>
    <row r="577" spans="13:14" x14ac:dyDescent="0.3">
      <c r="M577" s="1"/>
      <c r="N577" s="1"/>
    </row>
    <row r="581" spans="13:14" x14ac:dyDescent="0.3">
      <c r="M581" s="1"/>
      <c r="N581" s="1"/>
    </row>
    <row r="582" spans="13:14" x14ac:dyDescent="0.3">
      <c r="M582" s="1"/>
      <c r="N582" s="1"/>
    </row>
    <row r="583" spans="13:14" x14ac:dyDescent="0.3">
      <c r="M583" s="1"/>
      <c r="N583" s="1"/>
    </row>
    <row r="587" spans="13:14" x14ac:dyDescent="0.3">
      <c r="M587" s="1"/>
      <c r="N587" s="1"/>
    </row>
    <row r="589" spans="13:14" x14ac:dyDescent="0.3">
      <c r="M589" s="1"/>
      <c r="N589" s="1"/>
    </row>
    <row r="591" spans="13:14" x14ac:dyDescent="0.3">
      <c r="M591" s="1"/>
      <c r="N591" s="1"/>
    </row>
    <row r="592" spans="13:14" x14ac:dyDescent="0.3">
      <c r="M592" s="1"/>
      <c r="N592" s="1"/>
    </row>
    <row r="594" spans="13:14" x14ac:dyDescent="0.3">
      <c r="M594" s="1"/>
      <c r="N594" s="1"/>
    </row>
    <row r="595" spans="13:14" x14ac:dyDescent="0.3">
      <c r="M595" s="1"/>
      <c r="N595" s="1"/>
    </row>
    <row r="597" spans="13:14" x14ac:dyDescent="0.3">
      <c r="M597" s="1"/>
      <c r="N597" s="1"/>
    </row>
    <row r="606" spans="13:14" x14ac:dyDescent="0.3">
      <c r="M606" s="1"/>
      <c r="N606" s="1"/>
    </row>
    <row r="607" spans="13:14" x14ac:dyDescent="0.3">
      <c r="M607" s="1"/>
      <c r="N607" s="1"/>
    </row>
    <row r="608" spans="13:14" x14ac:dyDescent="0.3">
      <c r="M608" s="1"/>
      <c r="N608" s="1"/>
    </row>
    <row r="612" spans="13:14" x14ac:dyDescent="0.3">
      <c r="M612" s="1"/>
      <c r="N612" s="1"/>
    </row>
    <row r="613" spans="13:14" x14ac:dyDescent="0.3">
      <c r="M613" s="1"/>
      <c r="N613" s="1"/>
    </row>
    <row r="616" spans="13:14" x14ac:dyDescent="0.3">
      <c r="M616" s="1"/>
      <c r="N616" s="1"/>
    </row>
    <row r="621" spans="13:14" x14ac:dyDescent="0.3">
      <c r="M621" s="1"/>
      <c r="N621" s="1"/>
    </row>
    <row r="625" spans="13:14" x14ac:dyDescent="0.3">
      <c r="M625" s="1"/>
      <c r="N625" s="1"/>
    </row>
    <row r="628" spans="13:14" x14ac:dyDescent="0.3">
      <c r="M628" s="1"/>
      <c r="N628" s="1"/>
    </row>
    <row r="633" spans="13:14" x14ac:dyDescent="0.3">
      <c r="M633" s="1"/>
      <c r="N633" s="1"/>
    </row>
    <row r="638" spans="13:14" x14ac:dyDescent="0.3">
      <c r="M638" s="1"/>
      <c r="N638" s="1"/>
    </row>
    <row r="640" spans="13:14" x14ac:dyDescent="0.3">
      <c r="M640" s="1"/>
      <c r="N640" s="1"/>
    </row>
    <row r="654" spans="13:14" x14ac:dyDescent="0.3">
      <c r="M654" s="1"/>
      <c r="N654" s="1"/>
    </row>
    <row r="655" spans="13:14" x14ac:dyDescent="0.3">
      <c r="M655" s="1"/>
      <c r="N655" s="1"/>
    </row>
    <row r="662" spans="13:14" x14ac:dyDescent="0.3">
      <c r="M662" s="1"/>
      <c r="N662" s="1"/>
    </row>
    <row r="665" spans="13:14" x14ac:dyDescent="0.3">
      <c r="M665" s="1"/>
      <c r="N665" s="1"/>
    </row>
    <row r="667" spans="13:14" x14ac:dyDescent="0.3">
      <c r="M667" s="1"/>
      <c r="N667" s="1"/>
    </row>
    <row r="674" spans="13:14" x14ac:dyDescent="0.3">
      <c r="M674" s="1"/>
      <c r="N674" s="1"/>
    </row>
    <row r="676" spans="13:14" x14ac:dyDescent="0.3">
      <c r="M676" s="1"/>
      <c r="N676" s="1"/>
    </row>
    <row r="680" spans="13:14" x14ac:dyDescent="0.3">
      <c r="M680" s="1"/>
      <c r="N680" s="1"/>
    </row>
    <row r="681" spans="13:14" x14ac:dyDescent="0.3">
      <c r="M681" s="1"/>
      <c r="N681" s="1"/>
    </row>
    <row r="682" spans="13:14" x14ac:dyDescent="0.3">
      <c r="M682" s="1"/>
      <c r="N682" s="1"/>
    </row>
    <row r="684" spans="13:14" x14ac:dyDescent="0.3">
      <c r="M684" s="1"/>
      <c r="N684" s="1"/>
    </row>
    <row r="687" spans="13:14" x14ac:dyDescent="0.3">
      <c r="M687" s="1"/>
      <c r="N687" s="1"/>
    </row>
    <row r="688" spans="13:14" x14ac:dyDescent="0.3">
      <c r="M688" s="1"/>
      <c r="N688" s="1"/>
    </row>
    <row r="693" spans="13:14" x14ac:dyDescent="0.3">
      <c r="M693" s="1"/>
      <c r="N693" s="1"/>
    </row>
    <row r="694" spans="13:14" x14ac:dyDescent="0.3">
      <c r="M694" s="1"/>
      <c r="N694" s="1"/>
    </row>
    <row r="695" spans="13:14" x14ac:dyDescent="0.3">
      <c r="M695" s="1"/>
      <c r="N695" s="1"/>
    </row>
    <row r="698" spans="13:14" x14ac:dyDescent="0.3">
      <c r="M698" s="1"/>
      <c r="N698" s="1"/>
    </row>
    <row r="699" spans="13:14" x14ac:dyDescent="0.3">
      <c r="M699" s="1"/>
      <c r="N699" s="1"/>
    </row>
    <row r="701" spans="13:14" x14ac:dyDescent="0.3">
      <c r="M701" s="1"/>
      <c r="N701" s="1"/>
    </row>
    <row r="702" spans="13:14" x14ac:dyDescent="0.3">
      <c r="M702" s="1"/>
      <c r="N702" s="1"/>
    </row>
    <row r="705" spans="13:14" x14ac:dyDescent="0.3">
      <c r="M705" s="1"/>
      <c r="N705" s="1"/>
    </row>
    <row r="706" spans="13:14" x14ac:dyDescent="0.3">
      <c r="M706" s="1"/>
      <c r="N706" s="1"/>
    </row>
    <row r="715" spans="13:14" x14ac:dyDescent="0.3">
      <c r="M715" s="1"/>
      <c r="N715" s="1"/>
    </row>
    <row r="717" spans="13:14" x14ac:dyDescent="0.3">
      <c r="M717" s="1"/>
      <c r="N717" s="1"/>
    </row>
    <row r="722" spans="13:14" x14ac:dyDescent="0.3">
      <c r="M722" s="1"/>
      <c r="N722" s="1"/>
    </row>
    <row r="725" spans="13:14" x14ac:dyDescent="0.3">
      <c r="M725" s="1"/>
      <c r="N725" s="1"/>
    </row>
    <row r="726" spans="13:14" x14ac:dyDescent="0.3">
      <c r="M726" s="1"/>
      <c r="N726" s="1"/>
    </row>
    <row r="727" spans="13:14" x14ac:dyDescent="0.3">
      <c r="M727" s="1"/>
      <c r="N727" s="1"/>
    </row>
    <row r="728" spans="13:14" x14ac:dyDescent="0.3">
      <c r="M728" s="1"/>
      <c r="N728" s="1"/>
    </row>
    <row r="729" spans="13:14" x14ac:dyDescent="0.3">
      <c r="M729" s="1"/>
      <c r="N729" s="1"/>
    </row>
    <row r="731" spans="13:14" x14ac:dyDescent="0.3">
      <c r="M731" s="1"/>
      <c r="N731" s="1"/>
    </row>
    <row r="732" spans="13:14" x14ac:dyDescent="0.3">
      <c r="M732" s="1"/>
      <c r="N732" s="1"/>
    </row>
    <row r="734" spans="13:14" x14ac:dyDescent="0.3">
      <c r="M734" s="1"/>
      <c r="N734" s="1"/>
    </row>
    <row r="736" spans="13:14" x14ac:dyDescent="0.3">
      <c r="M736" s="1"/>
      <c r="N736" s="1"/>
    </row>
    <row r="737" spans="13:14" x14ac:dyDescent="0.3">
      <c r="M737" s="1"/>
      <c r="N737" s="1"/>
    </row>
    <row r="740" spans="13:14" x14ac:dyDescent="0.3">
      <c r="M740" s="1"/>
      <c r="N740" s="1"/>
    </row>
    <row r="744" spans="13:14" x14ac:dyDescent="0.3">
      <c r="M744" s="1"/>
      <c r="N744" s="1"/>
    </row>
    <row r="746" spans="13:14" x14ac:dyDescent="0.3">
      <c r="M746" s="1"/>
      <c r="N746" s="1"/>
    </row>
    <row r="747" spans="13:14" x14ac:dyDescent="0.3">
      <c r="M747" s="1"/>
      <c r="N747" s="1"/>
    </row>
    <row r="748" spans="13:14" x14ac:dyDescent="0.3">
      <c r="M748" s="1"/>
      <c r="N748" s="1"/>
    </row>
    <row r="753" spans="13:14" x14ac:dyDescent="0.3">
      <c r="M753" s="1"/>
      <c r="N753" s="1"/>
    </row>
    <row r="757" spans="13:14" x14ac:dyDescent="0.3">
      <c r="M757" s="1"/>
      <c r="N757" s="1"/>
    </row>
    <row r="759" spans="13:14" x14ac:dyDescent="0.3">
      <c r="M759" s="1"/>
      <c r="N759" s="1"/>
    </row>
    <row r="762" spans="13:14" x14ac:dyDescent="0.3">
      <c r="M762" s="1"/>
      <c r="N762" s="1"/>
    </row>
    <row r="767" spans="13:14" x14ac:dyDescent="0.3">
      <c r="M767" s="1"/>
      <c r="N767" s="1"/>
    </row>
    <row r="768" spans="13:14" x14ac:dyDescent="0.3">
      <c r="M768" s="1"/>
      <c r="N768" s="1"/>
    </row>
    <row r="775" spans="13:14" x14ac:dyDescent="0.3">
      <c r="M775" s="1"/>
      <c r="N775" s="1"/>
    </row>
    <row r="778" spans="13:14" x14ac:dyDescent="0.3">
      <c r="M778" s="1"/>
      <c r="N778" s="1"/>
    </row>
    <row r="779" spans="13:14" x14ac:dyDescent="0.3">
      <c r="M779" s="1"/>
      <c r="N779" s="1"/>
    </row>
    <row r="783" spans="13:14" x14ac:dyDescent="0.3">
      <c r="M783" s="1"/>
      <c r="N783" s="1"/>
    </row>
    <row r="784" spans="13:14" x14ac:dyDescent="0.3">
      <c r="M784" s="1"/>
      <c r="N784" s="1"/>
    </row>
    <row r="785" spans="13:14" x14ac:dyDescent="0.3">
      <c r="M785" s="1"/>
      <c r="N785" s="1"/>
    </row>
    <row r="787" spans="13:14" x14ac:dyDescent="0.3">
      <c r="M787" s="1"/>
      <c r="N787" s="1"/>
    </row>
    <row r="792" spans="13:14" x14ac:dyDescent="0.3">
      <c r="M792" s="1"/>
      <c r="N792" s="1"/>
    </row>
    <row r="801" spans="13:14" x14ac:dyDescent="0.3">
      <c r="M801" s="1"/>
      <c r="N801" s="1"/>
    </row>
    <row r="802" spans="13:14" x14ac:dyDescent="0.3">
      <c r="M802" s="1"/>
      <c r="N802" s="1"/>
    </row>
    <row r="803" spans="13:14" x14ac:dyDescent="0.3">
      <c r="M803" s="1"/>
      <c r="N803" s="1"/>
    </row>
    <row r="805" spans="13:14" x14ac:dyDescent="0.3">
      <c r="M805" s="1"/>
      <c r="N805" s="1"/>
    </row>
    <row r="809" spans="13:14" x14ac:dyDescent="0.3">
      <c r="M809" s="1"/>
      <c r="N809" s="1"/>
    </row>
    <row r="814" spans="13:14" x14ac:dyDescent="0.3">
      <c r="M814" s="1"/>
      <c r="N814" s="1"/>
    </row>
    <row r="821" spans="13:14" x14ac:dyDescent="0.3">
      <c r="M821" s="1"/>
      <c r="N821" s="1"/>
    </row>
    <row r="824" spans="13:14" x14ac:dyDescent="0.3">
      <c r="M824" s="1"/>
      <c r="N824" s="1"/>
    </row>
    <row r="825" spans="13:14" x14ac:dyDescent="0.3">
      <c r="M825" s="1"/>
      <c r="N825" s="1"/>
    </row>
    <row r="831" spans="13:14" x14ac:dyDescent="0.3">
      <c r="M831" s="1"/>
      <c r="N831" s="1"/>
    </row>
    <row r="834" spans="13:14" x14ac:dyDescent="0.3">
      <c r="M834" s="1"/>
      <c r="N834" s="1"/>
    </row>
    <row r="836" spans="13:14" x14ac:dyDescent="0.3">
      <c r="M836" s="1"/>
      <c r="N836" s="1"/>
    </row>
    <row r="838" spans="13:14" x14ac:dyDescent="0.3">
      <c r="M838" s="1"/>
      <c r="N838" s="1"/>
    </row>
    <row r="839" spans="13:14" x14ac:dyDescent="0.3">
      <c r="M839" s="1"/>
      <c r="N839" s="1"/>
    </row>
    <row r="841" spans="13:14" x14ac:dyDescent="0.3">
      <c r="M841" s="1"/>
      <c r="N841" s="1"/>
    </row>
    <row r="844" spans="13:14" x14ac:dyDescent="0.3">
      <c r="M844" s="1"/>
      <c r="N844" s="1"/>
    </row>
    <row r="850" spans="13:14" x14ac:dyDescent="0.3">
      <c r="M850" s="1"/>
      <c r="N850" s="1"/>
    </row>
    <row r="858" spans="13:14" x14ac:dyDescent="0.3">
      <c r="M858" s="1"/>
      <c r="N858" s="1"/>
    </row>
    <row r="859" spans="13:14" x14ac:dyDescent="0.3">
      <c r="M859" s="1"/>
      <c r="N859" s="1"/>
    </row>
    <row r="863" spans="13:14" x14ac:dyDescent="0.3">
      <c r="M863" s="1"/>
      <c r="N863" s="1"/>
    </row>
    <row r="865" spans="13:14" x14ac:dyDescent="0.3">
      <c r="M865" s="1"/>
      <c r="N865" s="1"/>
    </row>
    <row r="866" spans="13:14" x14ac:dyDescent="0.3">
      <c r="M866" s="1"/>
      <c r="N866" s="1"/>
    </row>
    <row r="870" spans="13:14" x14ac:dyDescent="0.3">
      <c r="M870" s="1"/>
      <c r="N870" s="1"/>
    </row>
    <row r="871" spans="13:14" x14ac:dyDescent="0.3">
      <c r="M871" s="1"/>
      <c r="N871" s="1"/>
    </row>
    <row r="878" spans="13:14" x14ac:dyDescent="0.3">
      <c r="M878" s="1"/>
      <c r="N878" s="1"/>
    </row>
    <row r="882" spans="13:14" x14ac:dyDescent="0.3">
      <c r="M882" s="1"/>
      <c r="N882" s="1"/>
    </row>
    <row r="888" spans="13:14" x14ac:dyDescent="0.3">
      <c r="M888" s="1"/>
      <c r="N888" s="1"/>
    </row>
    <row r="893" spans="13:14" x14ac:dyDescent="0.3">
      <c r="M893" s="1"/>
      <c r="N893" s="1"/>
    </row>
    <row r="894" spans="13:14" x14ac:dyDescent="0.3">
      <c r="M894" s="1"/>
      <c r="N894" s="1"/>
    </row>
    <row r="895" spans="13:14" x14ac:dyDescent="0.3">
      <c r="M895" s="1"/>
      <c r="N895" s="1"/>
    </row>
    <row r="896" spans="13:14" x14ac:dyDescent="0.3">
      <c r="M896" s="1"/>
      <c r="N896" s="1"/>
    </row>
    <row r="899" spans="13:14" x14ac:dyDescent="0.3">
      <c r="M899" s="1"/>
      <c r="N899" s="1"/>
    </row>
    <row r="900" spans="13:14" x14ac:dyDescent="0.3">
      <c r="M900" s="1"/>
      <c r="N900" s="1"/>
    </row>
    <row r="901" spans="13:14" x14ac:dyDescent="0.3">
      <c r="M901" s="1"/>
      <c r="N901" s="1"/>
    </row>
    <row r="903" spans="13:14" x14ac:dyDescent="0.3">
      <c r="M903" s="1"/>
      <c r="N903" s="1"/>
    </row>
    <row r="908" spans="13:14" x14ac:dyDescent="0.3">
      <c r="M908" s="1"/>
      <c r="N908" s="1"/>
    </row>
    <row r="914" spans="13:14" x14ac:dyDescent="0.3">
      <c r="M914" s="1"/>
      <c r="N914" s="1"/>
    </row>
    <row r="917" spans="13:14" x14ac:dyDescent="0.3">
      <c r="M917" s="1"/>
      <c r="N917" s="1"/>
    </row>
    <row r="919" spans="13:14" x14ac:dyDescent="0.3">
      <c r="M919" s="1"/>
      <c r="N919" s="1"/>
    </row>
    <row r="921" spans="13:14" x14ac:dyDescent="0.3">
      <c r="M921" s="1"/>
      <c r="N921" s="1"/>
    </row>
    <row r="922" spans="13:14" x14ac:dyDescent="0.3">
      <c r="M922" s="1"/>
      <c r="N922" s="1"/>
    </row>
    <row r="923" spans="13:14" x14ac:dyDescent="0.3">
      <c r="M923" s="1"/>
      <c r="N923" s="1"/>
    </row>
    <row r="925" spans="13:14" x14ac:dyDescent="0.3">
      <c r="M925" s="1"/>
      <c r="N925" s="1"/>
    </row>
    <row r="927" spans="13:14" x14ac:dyDescent="0.3">
      <c r="M927" s="1"/>
      <c r="N927" s="1"/>
    </row>
    <row r="931" spans="13:14" x14ac:dyDescent="0.3">
      <c r="M931" s="1"/>
      <c r="N931" s="1"/>
    </row>
    <row r="933" spans="13:14" x14ac:dyDescent="0.3">
      <c r="M933" s="1"/>
      <c r="N933" s="1"/>
    </row>
    <row r="936" spans="13:14" x14ac:dyDescent="0.3">
      <c r="M936" s="1"/>
      <c r="N936" s="1"/>
    </row>
    <row r="938" spans="13:14" x14ac:dyDescent="0.3">
      <c r="M938" s="1"/>
      <c r="N938" s="1"/>
    </row>
    <row r="942" spans="13:14" x14ac:dyDescent="0.3">
      <c r="M942" s="1"/>
      <c r="N942" s="1"/>
    </row>
    <row r="947" spans="13:14" x14ac:dyDescent="0.3">
      <c r="M947" s="1"/>
      <c r="N947" s="1"/>
    </row>
    <row r="949" spans="13:14" x14ac:dyDescent="0.3">
      <c r="M949" s="1"/>
      <c r="N949" s="1"/>
    </row>
    <row r="950" spans="13:14" x14ac:dyDescent="0.3">
      <c r="M950" s="1"/>
      <c r="N950" s="1"/>
    </row>
    <row r="953" spans="13:14" x14ac:dyDescent="0.3">
      <c r="M953" s="1"/>
      <c r="N953" s="1"/>
    </row>
    <row r="956" spans="13:14" x14ac:dyDescent="0.3">
      <c r="M956" s="1"/>
      <c r="N956" s="1"/>
    </row>
    <row r="957" spans="13:14" x14ac:dyDescent="0.3">
      <c r="M957" s="1"/>
      <c r="N957" s="1"/>
    </row>
    <row r="958" spans="13:14" x14ac:dyDescent="0.3">
      <c r="M958" s="1"/>
      <c r="N958" s="1"/>
    </row>
    <row r="959" spans="13:14" x14ac:dyDescent="0.3">
      <c r="M959" s="1"/>
      <c r="N959" s="1"/>
    </row>
    <row r="960" spans="13:14" x14ac:dyDescent="0.3">
      <c r="M960" s="1"/>
      <c r="N960" s="1"/>
    </row>
    <row r="963" spans="13:14" x14ac:dyDescent="0.3">
      <c r="M963" s="1"/>
      <c r="N963" s="1"/>
    </row>
    <row r="967" spans="13:14" x14ac:dyDescent="0.3">
      <c r="M967" s="1"/>
      <c r="N967" s="1"/>
    </row>
    <row r="968" spans="13:14" x14ac:dyDescent="0.3">
      <c r="M968" s="1"/>
      <c r="N968" s="1"/>
    </row>
    <row r="971" spans="13:14" x14ac:dyDescent="0.3">
      <c r="M971" s="1"/>
      <c r="N971" s="1"/>
    </row>
    <row r="972" spans="13:14" x14ac:dyDescent="0.3">
      <c r="M972" s="1"/>
      <c r="N972" s="1"/>
    </row>
    <row r="973" spans="13:14" x14ac:dyDescent="0.3">
      <c r="M973" s="1"/>
      <c r="N973" s="1"/>
    </row>
    <row r="975" spans="13:14" x14ac:dyDescent="0.3">
      <c r="M975" s="1"/>
      <c r="N975" s="1"/>
    </row>
    <row r="976" spans="13:14" x14ac:dyDescent="0.3">
      <c r="M976" s="1"/>
      <c r="N976" s="1"/>
    </row>
    <row r="977" spans="13:14" x14ac:dyDescent="0.3">
      <c r="M977" s="1"/>
      <c r="N977" s="1"/>
    </row>
    <row r="978" spans="13:14" x14ac:dyDescent="0.3">
      <c r="M978" s="1"/>
      <c r="N978" s="1"/>
    </row>
    <row r="980" spans="13:14" x14ac:dyDescent="0.3">
      <c r="M980" s="1"/>
      <c r="N980" s="1"/>
    </row>
    <row r="981" spans="13:14" x14ac:dyDescent="0.3">
      <c r="M981" s="1"/>
      <c r="N981" s="1"/>
    </row>
    <row r="986" spans="13:14" x14ac:dyDescent="0.3">
      <c r="M986" s="1"/>
      <c r="N986" s="1"/>
    </row>
    <row r="987" spans="13:14" x14ac:dyDescent="0.3">
      <c r="M987" s="1"/>
      <c r="N987" s="1"/>
    </row>
    <row r="989" spans="13:14" x14ac:dyDescent="0.3">
      <c r="M989" s="1"/>
      <c r="N989" s="1"/>
    </row>
    <row r="994" spans="13:14" x14ac:dyDescent="0.3">
      <c r="M994" s="1"/>
      <c r="N994" s="1"/>
    </row>
    <row r="998" spans="13:14" x14ac:dyDescent="0.3">
      <c r="M998" s="1"/>
      <c r="N998" s="1"/>
    </row>
    <row r="999" spans="13:14" x14ac:dyDescent="0.3">
      <c r="M999" s="1"/>
      <c r="N999" s="1"/>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SuperMarket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Maha vishnu</cp:lastModifiedBy>
  <dcterms:created xsi:type="dcterms:W3CDTF">2026-03-24T15:29:25Z</dcterms:created>
  <dcterms:modified xsi:type="dcterms:W3CDTF">2026-03-25T07:13:01Z</dcterms:modified>
</cp:coreProperties>
</file>