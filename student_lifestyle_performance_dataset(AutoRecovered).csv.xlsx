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havishnu\OneDrive\Documents\"/>
    </mc:Choice>
  </mc:AlternateContent>
  <xr:revisionPtr revIDLastSave="0" documentId="8_{087C4B8E-22A8-402E-A659-2598B8C5D3F0}" xr6:coauthVersionLast="47" xr6:coauthVersionMax="47" xr10:uidLastSave="{00000000-0000-0000-0000-000000000000}"/>
  <bookViews>
    <workbookView xWindow="-108" yWindow="-108" windowWidth="23256" windowHeight="12456" activeTab="2" xr2:uid="{22F044A6-77F4-40CE-B02E-3A880ED31916}"/>
  </bookViews>
  <sheets>
    <sheet name="Sheet1" sheetId="2" r:id="rId1"/>
    <sheet name="Sheet2" sheetId="3" r:id="rId2"/>
    <sheet name="student_lifestyle_performance_d" sheetId="1" r:id="rId3"/>
  </sheets>
  <calcPr calcId="191029"/>
  <pivotCaches>
    <pivotCache cacheId="10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2" i="1"/>
  <c r="AJ17" i="1"/>
  <c r="AH17" i="1"/>
  <c r="AE10" i="1"/>
  <c r="AE8" i="1"/>
  <c r="AE6" i="1"/>
  <c r="P9" i="1" a="1"/>
  <c r="P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<sst xmlns="http://schemas.openxmlformats.org/spreadsheetml/2006/main" count="213" uniqueCount="38">
  <si>
    <t>Age</t>
  </si>
  <si>
    <t>Branch</t>
  </si>
  <si>
    <t>Study_Hours_per_Day</t>
  </si>
  <si>
    <t>Sleep_Hours</t>
  </si>
  <si>
    <t>Screen_Time_Hours</t>
  </si>
  <si>
    <t>Gym_Hours_per_Week</t>
  </si>
  <si>
    <t>Diet_Type</t>
  </si>
  <si>
    <t>Attendance_Percentage</t>
  </si>
  <si>
    <t>Stress_Level_1_to_10</t>
  </si>
  <si>
    <t>Residence</t>
  </si>
  <si>
    <t>Internal_Marks</t>
  </si>
  <si>
    <t>CGPA</t>
  </si>
  <si>
    <t>ECE</t>
  </si>
  <si>
    <t>Non-Veg</t>
  </si>
  <si>
    <t>Hosteller</t>
  </si>
  <si>
    <t>Civil</t>
  </si>
  <si>
    <t>Veg</t>
  </si>
  <si>
    <t>Day Scholar</t>
  </si>
  <si>
    <t>Electrical</t>
  </si>
  <si>
    <t>CSE</t>
  </si>
  <si>
    <t>Mechanical</t>
  </si>
  <si>
    <t>IT</t>
  </si>
  <si>
    <t>Here are 10 practical, hands-on Excel tasks you can give using this dataset (with these columns: Age, Branch, Study_Hours_per_Day, Sleep_Hours, Screen_Time_Hours, Gym_Hours_per_Week, Diet_Type, Attendance_Percentage, Stress_Level_1_to_10, Residence, Internal_Marks, CGPA).[ppl-ai-file-upload.s3.amazonaws]​</t>
  </si>
  <si>
    <r>
      <t xml:space="preserve">1. Import the CSV file into Excel and convert the data range into an </t>
    </r>
    <r>
      <rPr>
        <b/>
        <sz val="11"/>
        <color theme="1"/>
        <rFont val="Calibri"/>
        <family val="2"/>
        <scheme val="minor"/>
      </rPr>
      <t>Excel Table</t>
    </r>
    <r>
      <rPr>
        <sz val="11"/>
        <color theme="1"/>
        <rFont val="Calibri"/>
        <family val="2"/>
        <scheme val="minor"/>
      </rPr>
      <t xml:space="preserve"> named </t>
    </r>
    <r>
      <rPr>
        <sz val="10"/>
        <color theme="1"/>
        <rFont val="Arial Unicode MS"/>
      </rPr>
      <t>Students_Data</t>
    </r>
    <r>
      <rPr>
        <sz val="11"/>
        <color theme="1"/>
        <rFont val="Calibri"/>
        <family val="2"/>
        <scheme val="minor"/>
      </rPr>
      <t>.</t>
    </r>
  </si>
  <si>
    <r>
      <t xml:space="preserve">2. Using a formula, calculate the </t>
    </r>
    <r>
      <rPr>
        <b/>
        <sz val="11"/>
        <color theme="1"/>
        <rFont val="Calibri"/>
        <family val="2"/>
        <scheme val="minor"/>
      </rPr>
      <t>average Study_Hours_per_Day</t>
    </r>
    <r>
      <rPr>
        <sz val="11"/>
        <color theme="1"/>
        <rFont val="Calibri"/>
        <family val="2"/>
        <scheme val="minor"/>
      </rPr>
      <t xml:space="preserve"> of all students in a separate cell.</t>
    </r>
  </si>
  <si>
    <r>
      <t xml:space="preserve">3. Filter the table to show only </t>
    </r>
    <r>
      <rPr>
        <b/>
        <sz val="11"/>
        <color theme="1"/>
        <rFont val="Calibri"/>
        <family val="2"/>
        <scheme val="minor"/>
      </rPr>
      <t>CSE</t>
    </r>
    <r>
      <rPr>
        <sz val="11"/>
        <color theme="1"/>
        <rFont val="Calibri"/>
        <family val="2"/>
        <scheme val="minor"/>
      </rPr>
      <t xml:space="preserve"> students and then calculate their </t>
    </r>
    <r>
      <rPr>
        <b/>
        <sz val="11"/>
        <color theme="1"/>
        <rFont val="Calibri"/>
        <family val="2"/>
        <scheme val="minor"/>
      </rPr>
      <t>average CGPA</t>
    </r>
    <r>
      <rPr>
        <sz val="11"/>
        <color theme="1"/>
        <rFont val="Calibri"/>
        <family val="2"/>
        <scheme val="minor"/>
      </rPr>
      <t>.</t>
    </r>
  </si>
  <si>
    <r>
      <t xml:space="preserve">4. Using a formula, find how many students have </t>
    </r>
    <r>
      <rPr>
        <b/>
        <sz val="11"/>
        <color theme="1"/>
        <rFont val="Calibri"/>
        <family val="2"/>
        <scheme val="minor"/>
      </rPr>
      <t>Attendance_Percentage greater than 90</t>
    </r>
    <r>
      <rPr>
        <sz val="11"/>
        <color theme="1"/>
        <rFont val="Calibri"/>
        <family val="2"/>
        <scheme val="minor"/>
      </rPr>
      <t>.</t>
    </r>
  </si>
  <si>
    <r>
      <t xml:space="preserve">5. Apply </t>
    </r>
    <r>
      <rPr>
        <b/>
        <sz val="11"/>
        <color theme="1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 xml:space="preserve"> to highlight rows where </t>
    </r>
    <r>
      <rPr>
        <b/>
        <sz val="11"/>
        <color theme="1"/>
        <rFont val="Calibri"/>
        <family val="2"/>
        <scheme val="minor"/>
      </rPr>
      <t>Stress_Level_1_to_10 is greater than 8</t>
    </r>
    <r>
      <rPr>
        <sz val="11"/>
        <color theme="1"/>
        <rFont val="Calibri"/>
        <family val="2"/>
        <scheme val="minor"/>
      </rPr>
      <t>.</t>
    </r>
  </si>
  <si>
    <r>
      <t xml:space="preserve">6. Create a </t>
    </r>
    <r>
      <rPr>
        <b/>
        <sz val="11"/>
        <color theme="1"/>
        <rFont val="Calibri"/>
        <family val="2"/>
        <scheme val="minor"/>
      </rPr>
      <t>Pivot Table</t>
    </r>
    <r>
      <rPr>
        <sz val="11"/>
        <color theme="1"/>
        <rFont val="Calibri"/>
        <family val="2"/>
        <scheme val="minor"/>
      </rPr>
      <t xml:space="preserve"> to display </t>
    </r>
    <r>
      <rPr>
        <b/>
        <sz val="11"/>
        <color theme="1"/>
        <rFont val="Calibri"/>
        <family val="2"/>
        <scheme val="minor"/>
      </rPr>
      <t>average CGPA by Branch</t>
    </r>
    <r>
      <rPr>
        <sz val="11"/>
        <color theme="1"/>
        <rFont val="Calibri"/>
        <family val="2"/>
        <scheme val="minor"/>
      </rPr>
      <t>.</t>
    </r>
  </si>
  <si>
    <r>
      <t xml:space="preserve">7. Sort the data by </t>
    </r>
    <r>
      <rPr>
        <b/>
        <sz val="11"/>
        <color theme="1"/>
        <rFont val="Calibri"/>
        <family val="2"/>
        <scheme val="minor"/>
      </rPr>
      <t>CGPA from largest to smallest</t>
    </r>
    <r>
      <rPr>
        <sz val="11"/>
        <color theme="1"/>
        <rFont val="Calibri"/>
        <family val="2"/>
        <scheme val="minor"/>
      </rPr>
      <t xml:space="preserve"> and identify the </t>
    </r>
    <r>
      <rPr>
        <b/>
        <sz val="11"/>
        <color theme="1"/>
        <rFont val="Calibri"/>
        <family val="2"/>
        <scheme val="minor"/>
      </rPr>
      <t>top 5 students</t>
    </r>
    <r>
      <rPr>
        <sz val="11"/>
        <color theme="1"/>
        <rFont val="Calibri"/>
        <family val="2"/>
        <scheme val="minor"/>
      </rPr>
      <t xml:space="preserve"> (copy those rows to a new sheet).</t>
    </r>
  </si>
  <si>
    <r>
      <t xml:space="preserve">8. Use a suitable formula to count how many students are </t>
    </r>
    <r>
      <rPr>
        <b/>
        <sz val="11"/>
        <color theme="1"/>
        <rFont val="Calibri"/>
        <family val="2"/>
        <scheme val="minor"/>
      </rPr>
      <t>Hosteller</t>
    </r>
    <r>
      <rPr>
        <sz val="11"/>
        <color theme="1"/>
        <rFont val="Calibri"/>
        <family val="2"/>
        <scheme val="minor"/>
      </rPr>
      <t xml:space="preserve"> and how many are </t>
    </r>
    <r>
      <rPr>
        <b/>
        <sz val="11"/>
        <color theme="1"/>
        <rFont val="Calibri"/>
        <family val="2"/>
        <scheme val="minor"/>
      </rPr>
      <t>Day Scholar</t>
    </r>
    <r>
      <rPr>
        <sz val="11"/>
        <color theme="1"/>
        <rFont val="Calibri"/>
        <family val="2"/>
        <scheme val="minor"/>
      </rPr>
      <t xml:space="preserve"> in the Residence column.</t>
    </r>
  </si>
  <si>
    <r>
      <t xml:space="preserve">9. Insert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showing </t>
    </r>
    <r>
      <rPr>
        <b/>
        <sz val="11"/>
        <color theme="1"/>
        <rFont val="Calibri"/>
        <family val="2"/>
        <scheme val="minor"/>
      </rPr>
      <t>average Attendance_Percentage by Branch</t>
    </r>
    <r>
      <rPr>
        <sz val="11"/>
        <color theme="1"/>
        <rFont val="Calibri"/>
        <family val="2"/>
        <scheme val="minor"/>
      </rPr>
      <t>.</t>
    </r>
  </si>
  <si>
    <r>
      <t xml:space="preserve">10. Add a new column called </t>
    </r>
    <r>
      <rPr>
        <sz val="10"/>
        <color theme="1"/>
        <rFont val="Arial Unicode MS"/>
      </rPr>
      <t>Performance_Category</t>
    </r>
    <r>
      <rPr>
        <sz val="11"/>
        <color theme="1"/>
        <rFont val="Calibri"/>
        <family val="2"/>
        <scheme val="minor"/>
      </rPr>
      <t xml:space="preserve"> and using a formula, categorize students as </t>
    </r>
    <r>
      <rPr>
        <sz val="10"/>
        <color theme="1"/>
        <rFont val="Arial Unicode MS"/>
      </rPr>
      <t>"High"</t>
    </r>
    <r>
      <rPr>
        <sz val="11"/>
        <color theme="1"/>
        <rFont val="Calibri"/>
        <family val="2"/>
        <scheme val="minor"/>
      </rPr>
      <t xml:space="preserve"> if CGPA ≥ 8, </t>
    </r>
    <r>
      <rPr>
        <sz val="10"/>
        <color theme="1"/>
        <rFont val="Arial Unicode MS"/>
      </rPr>
      <t>"Medium"</t>
    </r>
    <r>
      <rPr>
        <sz val="11"/>
        <color theme="1"/>
        <rFont val="Calibri"/>
        <family val="2"/>
        <scheme val="minor"/>
      </rPr>
      <t xml:space="preserve"> if between 7 and 8, otherwise </t>
    </r>
    <r>
      <rPr>
        <sz val="10"/>
        <color theme="1"/>
        <rFont val="Arial Unicode MS"/>
      </rPr>
      <t>"Low"</t>
    </r>
    <r>
      <rPr>
        <sz val="11"/>
        <color theme="1"/>
        <rFont val="Calibri"/>
        <family val="2"/>
        <scheme val="minor"/>
      </rPr>
      <t>.</t>
    </r>
  </si>
  <si>
    <t>Row Labels</t>
  </si>
  <si>
    <t>Grand Total</t>
  </si>
  <si>
    <t>Average of CGPA</t>
  </si>
  <si>
    <t>Average of Attendance_Percentage</t>
  </si>
  <si>
    <t xml:space="preserve">Performance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</si>
</sst>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2">
    <xf numFmtId="0" fontId="0" fillId="0" borderId="0" xfId="0"/>
    <xf numFmtId="0" fontId="19" fillId="0" borderId="0" xfId="42"/>
    <xf numFmtId="0" fontId="0" fillId="0" borderId="0" xfId="0" applyAlignment="1">
      <alignment horizontal="left" vertical="center" indent="1"/>
    </xf>
    <xf numFmtId="0" fontId="0" fillId="33" borderId="10" xfId="0" applyFont="1" applyFill="1" applyBorder="1"/>
    <xf numFmtId="0" fontId="0" fillId="33" borderId="11" xfId="0" applyFont="1" applyFill="1" applyBorder="1"/>
    <xf numFmtId="0" fontId="0" fillId="33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[student_lifestyle_performance_dataset(AutoRecovered).csv.xlsx]Sheet1!PivotTable1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Sheet1!$A$4:$A$10</c:f>
              <c:strCache>
                <c:ptCount val="6"/>
                <c:pt idx="0">
                  <c:v>Civil</c:v>
                </c:pt>
                <c:pt idx="1">
                  <c:v>CSE</c:v>
                </c:pt>
                <c:pt idx="2">
                  <c:v>ECE</c:v>
                </c:pt>
                <c:pt idx="3">
                  <c:v>Electrical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7.7227777777777771</c:v>
                </c:pt>
                <c:pt idx="1">
                  <c:v>7.1921428571428576</c:v>
                </c:pt>
                <c:pt idx="2">
                  <c:v>7.467142857142858</c:v>
                </c:pt>
                <c:pt idx="3">
                  <c:v>6.9261111111111111</c:v>
                </c:pt>
                <c:pt idx="4">
                  <c:v>7.3380000000000027</c:v>
                </c:pt>
                <c:pt idx="5">
                  <c:v>6.8671428571428574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1-40E2-A00B-8BBAA83FED3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[student_lifestyle_performance_dataset(AutoRecovered).csv.xlsx]Sheet2!PivotTable3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Sheet2!$A$4:$A$10</c:f>
              <c:strCache>
                <c:ptCount val="6"/>
                <c:pt idx="0">
                  <c:v>Civil</c:v>
                </c:pt>
                <c:pt idx="1">
                  <c:v>CSE</c:v>
                </c:pt>
                <c:pt idx="2">
                  <c:v>ECE</c:v>
                </c:pt>
                <c:pt idx="3">
                  <c:v>Electrical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82.459444444444443</c:v>
                </c:pt>
                <c:pt idx="1">
                  <c:v>80.924285714285702</c:v>
                </c:pt>
                <c:pt idx="2">
                  <c:v>79.073571428571427</c:v>
                </c:pt>
                <c:pt idx="3">
                  <c:v>78.669444444444451</c:v>
                </c:pt>
                <c:pt idx="4">
                  <c:v>79.741000000000014</c:v>
                </c:pt>
                <c:pt idx="5">
                  <c:v>82.128571428571448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40D9-B68C-10545CB53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511743"/>
        <c:axId val="76501183"/>
        <c:axId val="0"/>
      </c:bar3DChart>
      <c:catAx>
        <c:axId val="7651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01183"/>
        <c:crosses val="autoZero"/>
        <c:auto val="1"/>
        <c:lblAlgn val="ctr"/>
        <c:lblOffset val="100"/>
        <c:noMultiLvlLbl val="0"/>
      </c:catAx>
      <c:valAx>
        <c:axId val="7650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1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3</xdr:row>
      <xdr:rowOff>114300</xdr:rowOff>
    </xdr:from>
    <xdr:to>
      <xdr:col>14</xdr:col>
      <xdr:colOff>563880</xdr:colOff>
      <xdr:row>28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629469-5BD8-1830-1052-EF821E069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7</xdr:row>
      <xdr:rowOff>7620</xdr:rowOff>
    </xdr:from>
    <xdr:to>
      <xdr:col>12</xdr:col>
      <xdr:colOff>266700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A6E8B-8665-1A32-0A43-57FE9222B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vishnu" refreshedDate="46085.796901851849" createdVersion="8" refreshedVersion="8" minRefreshableVersion="3" recordCount="98" xr:uid="{C313B168-E6CD-459B-B500-F9C16D26F847}">
  <cacheSource type="worksheet">
    <worksheetSource name="Students_Data"/>
  </cacheSource>
  <cacheFields count="12">
    <cacheField name="Age" numFmtId="0">
      <sharedItems containsSemiMixedTypes="0" containsString="0" containsNumber="1" containsInteger="1" minValue="17" maxValue="25"/>
    </cacheField>
    <cacheField name="Branch" numFmtId="0">
      <sharedItems count="6">
        <s v="ECE"/>
        <s v="Civil"/>
        <s v="Electrical"/>
        <s v="CSE"/>
        <s v="Mechanical"/>
        <s v="IT"/>
      </sharedItems>
    </cacheField>
    <cacheField name="Study_Hours_per_Day" numFmtId="0">
      <sharedItems containsSemiMixedTypes="0" containsString="0" containsNumber="1" minValue="1.31" maxValue="7.82"/>
    </cacheField>
    <cacheField name="Sleep_Hours" numFmtId="0">
      <sharedItems containsSemiMixedTypes="0" containsString="0" containsNumber="1" minValue="3" maxValue="10"/>
    </cacheField>
    <cacheField name="Screen_Time_Hours" numFmtId="0">
      <sharedItems containsSemiMixedTypes="0" containsString="0" containsNumber="1" minValue="1" maxValue="9.86"/>
    </cacheField>
    <cacheField name="Gym_Hours_per_Week" numFmtId="0">
      <sharedItems containsSemiMixedTypes="0" containsString="0" containsNumber="1" minValue="0" maxValue="21"/>
    </cacheField>
    <cacheField name="Diet_Type" numFmtId="0">
      <sharedItems/>
    </cacheField>
    <cacheField name="Attendance_Percentage" numFmtId="0">
      <sharedItems containsSemiMixedTypes="0" containsString="0" containsNumber="1" minValue="63.93" maxValue="100"/>
    </cacheField>
    <cacheField name="Stress_Level_1_to_10" numFmtId="0">
      <sharedItems containsSemiMixedTypes="0" containsString="0" containsNumber="1" minValue="1" maxValue="9.66"/>
    </cacheField>
    <cacheField name="Residence" numFmtId="0">
      <sharedItems/>
    </cacheField>
    <cacheField name="Internal_Marks" numFmtId="0">
      <sharedItems containsSemiMixedTypes="0" containsString="0" containsNumber="1" minValue="40.11" maxValue="88.83"/>
    </cacheField>
    <cacheField name="CGPA" numFmtId="0">
      <sharedItems containsSemiMixedTypes="0" containsString="0" containsNumber="1" minValue="4.84" maxValue="9.35" count="89">
        <n v="7.52"/>
        <n v="7.21"/>
        <n v="4.84"/>
        <n v="6.74"/>
        <n v="7.77"/>
        <n v="7.26"/>
        <n v="6.87"/>
        <n v="7.04"/>
        <n v="5.9"/>
        <n v="7.7"/>
        <n v="6.8"/>
        <n v="7.25"/>
        <n v="9.35"/>
        <n v="8.52"/>
        <n v="6.38"/>
        <n v="8.41"/>
        <n v="5.91"/>
        <n v="5.56"/>
        <n v="8.7799999999999994"/>
        <n v="8.16"/>
        <n v="6.91"/>
        <n v="8.94"/>
        <n v="6.98"/>
        <n v="8.0399999999999991"/>
        <n v="8.5399999999999991"/>
        <n v="7.53"/>
        <n v="8.0299999999999994"/>
        <n v="5.51"/>
        <n v="7.64"/>
        <n v="7.3"/>
        <n v="6.51"/>
        <n v="7.47"/>
        <n v="6.93"/>
        <n v="7.12"/>
        <n v="8.1999999999999993"/>
        <n v="6.39"/>
        <n v="8.4"/>
        <n v="6.76"/>
        <n v="6.56"/>
        <n v="7.36"/>
        <n v="7.38"/>
        <n v="6.88"/>
        <n v="6.41"/>
        <n v="9"/>
        <n v="9.06"/>
        <n v="7.42"/>
        <n v="6.31"/>
        <n v="7.59"/>
        <n v="6.17"/>
        <n v="5.94"/>
        <n v="6.29"/>
        <n v="7.74"/>
        <n v="5.72"/>
        <n v="6.44"/>
        <n v="7.48"/>
        <n v="7.87"/>
        <n v="6.15"/>
        <n v="5.92"/>
        <n v="8.42"/>
        <n v="6.25"/>
        <n v="6.61"/>
        <n v="8.43"/>
        <n v="7"/>
        <n v="7.37"/>
        <n v="7.13"/>
        <n v="5.21"/>
        <n v="8.9"/>
        <n v="7.17"/>
        <n v="5.84"/>
        <n v="9.11"/>
        <n v="8.14"/>
        <n v="6.89"/>
        <n v="7.09"/>
        <n v="8.17"/>
        <n v="6.46"/>
        <n v="6.83"/>
        <n v="7.34"/>
        <n v="6.84"/>
        <n v="6.65"/>
        <n v="7.9"/>
        <n v="8.7200000000000006"/>
        <n v="7.02"/>
        <n v="8.9499999999999993"/>
        <n v="6.6"/>
        <n v="7.23"/>
        <n v="6.55"/>
        <n v="9.15"/>
        <n v="7.93"/>
        <n v="7.5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3"/>
    <x v="0"/>
    <n v="4.1399999999999997"/>
    <n v="6.84"/>
    <n v="9.23"/>
    <n v="2.67"/>
    <s v="Non-Veg"/>
    <n v="81.239999999999995"/>
    <n v="4.93"/>
    <s v="Hosteller"/>
    <n v="65.86"/>
    <x v="0"/>
  </r>
  <r>
    <n v="20"/>
    <x v="1"/>
    <n v="5.97"/>
    <n v="5.52"/>
    <n v="3.09"/>
    <n v="15.61"/>
    <s v="Veg"/>
    <n v="90.55"/>
    <n v="6.96"/>
    <s v="Day Scholar"/>
    <n v="62.52"/>
    <x v="1"/>
  </r>
  <r>
    <n v="24"/>
    <x v="2"/>
    <n v="3.19"/>
    <n v="3.39"/>
    <n v="5.0199999999999996"/>
    <n v="2.52"/>
    <s v="Veg"/>
    <n v="69.400000000000006"/>
    <n v="7.38"/>
    <s v="Hosteller"/>
    <n v="40.11"/>
    <x v="2"/>
  </r>
  <r>
    <n v="21"/>
    <x v="3"/>
    <n v="4.7699999999999996"/>
    <n v="6.44"/>
    <n v="9.2100000000000009"/>
    <n v="0"/>
    <s v="Non-Veg"/>
    <n v="80.790000000000006"/>
    <n v="5.84"/>
    <s v="Day Scholar"/>
    <n v="61.25"/>
    <x v="3"/>
  </r>
  <r>
    <n v="23"/>
    <x v="1"/>
    <n v="5.42"/>
    <n v="6.54"/>
    <n v="4.76"/>
    <n v="9.93"/>
    <s v="Veg"/>
    <n v="82.63"/>
    <n v="6.67"/>
    <s v="Day Scholar"/>
    <n v="64.540000000000006"/>
    <x v="4"/>
  </r>
  <r>
    <n v="19"/>
    <x v="0"/>
    <n v="3.01"/>
    <n v="7.25"/>
    <n v="5.07"/>
    <n v="13.89"/>
    <s v="Non-Veg"/>
    <n v="80.430000000000007"/>
    <n v="3.28"/>
    <s v="Hosteller"/>
    <n v="64.400000000000006"/>
    <x v="5"/>
  </r>
  <r>
    <n v="23"/>
    <x v="0"/>
    <n v="2.77"/>
    <n v="6.24"/>
    <n v="1.66"/>
    <n v="8"/>
    <s v="Non-Veg"/>
    <n v="76.349999999999994"/>
    <n v="3.3"/>
    <s v="Day Scholar"/>
    <n v="57.73"/>
    <x v="6"/>
  </r>
  <r>
    <n v="24"/>
    <x v="3"/>
    <n v="3.77"/>
    <n v="4.71"/>
    <n v="3.94"/>
    <n v="9.44"/>
    <s v="Veg"/>
    <n v="76.02"/>
    <n v="4.66"/>
    <s v="Hosteller"/>
    <n v="60.32"/>
    <x v="7"/>
  </r>
  <r>
    <n v="21"/>
    <x v="4"/>
    <n v="3.31"/>
    <n v="5.51"/>
    <n v="6.11"/>
    <n v="17.940000000000001"/>
    <s v="Veg"/>
    <n v="79.34"/>
    <n v="5.8"/>
    <s v="Day Scholar"/>
    <n v="54.83"/>
    <x v="8"/>
  </r>
  <r>
    <n v="20"/>
    <x v="5"/>
    <n v="5.73"/>
    <n v="8.08"/>
    <n v="9.86"/>
    <n v="13.97"/>
    <s v="Non-Veg"/>
    <n v="87.37"/>
    <n v="6.06"/>
    <s v="Day Scholar"/>
    <n v="72.569999999999993"/>
    <x v="9"/>
  </r>
  <r>
    <n v="24"/>
    <x v="0"/>
    <n v="2.5"/>
    <n v="5.5"/>
    <n v="4.6100000000000003"/>
    <n v="7.17"/>
    <s v="Veg"/>
    <n v="73.66"/>
    <n v="3.06"/>
    <s v="Hosteller"/>
    <n v="59.66"/>
    <x v="10"/>
  </r>
  <r>
    <n v="24"/>
    <x v="2"/>
    <n v="4.0999999999999996"/>
    <n v="8.4"/>
    <n v="1.67"/>
    <n v="4.59"/>
    <s v="Veg"/>
    <n v="81.66"/>
    <n v="3.44"/>
    <s v="Day Scholar"/>
    <n v="70.05"/>
    <x v="11"/>
  </r>
  <r>
    <n v="19"/>
    <x v="2"/>
    <n v="7.82"/>
    <n v="7.76"/>
    <n v="2.19"/>
    <n v="13.13"/>
    <s v="Veg"/>
    <n v="100"/>
    <n v="5.89"/>
    <s v="Hosteller"/>
    <n v="79.260000000000005"/>
    <x v="12"/>
  </r>
  <r>
    <n v="22"/>
    <x v="0"/>
    <n v="4.62"/>
    <n v="6.12"/>
    <n v="4.93"/>
    <n v="11.64"/>
    <s v="Veg"/>
    <n v="84.6"/>
    <n v="5.7"/>
    <s v="Day Scholar"/>
    <n v="69.06"/>
    <x v="13"/>
  </r>
  <r>
    <n v="21"/>
    <x v="4"/>
    <n v="4.87"/>
    <n v="5.63"/>
    <n v="7.35"/>
    <n v="9.34"/>
    <s v="Non-Veg"/>
    <n v="86.45"/>
    <n v="6.65"/>
    <s v="Day Scholar"/>
    <n v="50.7"/>
    <x v="14"/>
  </r>
  <r>
    <n v="18"/>
    <x v="4"/>
    <n v="5.74"/>
    <n v="7.76"/>
    <n v="6.27"/>
    <n v="5.17"/>
    <s v="Non-Veg"/>
    <n v="94.98"/>
    <n v="4.5599999999999996"/>
    <s v="Hosteller"/>
    <n v="70.349999999999994"/>
    <x v="15"/>
  </r>
  <r>
    <n v="24"/>
    <x v="1"/>
    <n v="3.31"/>
    <n v="6.21"/>
    <n v="5.92"/>
    <n v="6.57"/>
    <s v="Non-Veg"/>
    <n v="79.73"/>
    <n v="4.1900000000000004"/>
    <s v="Hosteller"/>
    <n v="46.6"/>
    <x v="16"/>
  </r>
  <r>
    <n v="22"/>
    <x v="2"/>
    <n v="2.38"/>
    <n v="4.6500000000000004"/>
    <n v="7.62"/>
    <n v="6.17"/>
    <s v="Veg"/>
    <n v="70.2"/>
    <n v="5.58"/>
    <s v="Hosteller"/>
    <n v="60.19"/>
    <x v="17"/>
  </r>
  <r>
    <n v="18"/>
    <x v="1"/>
    <n v="4.26"/>
    <n v="7.17"/>
    <n v="3.56"/>
    <n v="5.26"/>
    <s v="Veg"/>
    <n v="80.83"/>
    <n v="3.98"/>
    <s v="Day Scholar"/>
    <n v="71.3"/>
    <x v="18"/>
  </r>
  <r>
    <n v="21"/>
    <x v="2"/>
    <n v="4.4000000000000004"/>
    <n v="7"/>
    <n v="5.04"/>
    <n v="3.63"/>
    <s v="Non-Veg"/>
    <n v="88.14"/>
    <n v="3.72"/>
    <s v="Hosteller"/>
    <n v="78.09"/>
    <x v="19"/>
  </r>
  <r>
    <n v="17"/>
    <x v="5"/>
    <n v="1.57"/>
    <n v="7.87"/>
    <n v="3.96"/>
    <n v="8.49"/>
    <s v="Veg"/>
    <n v="68.430000000000007"/>
    <n v="1"/>
    <s v="Hosteller"/>
    <n v="62.06"/>
    <x v="20"/>
  </r>
  <r>
    <n v="22"/>
    <x v="5"/>
    <n v="4.5599999999999996"/>
    <n v="6.92"/>
    <n v="4.46"/>
    <n v="3.38"/>
    <s v="Non-Veg"/>
    <n v="80.94"/>
    <n v="4.25"/>
    <s v="Hosteller"/>
    <n v="81.55"/>
    <x v="21"/>
  </r>
  <r>
    <n v="25"/>
    <x v="3"/>
    <n v="5.6"/>
    <n v="5.84"/>
    <n v="2.99"/>
    <n v="7.99"/>
    <s v="Veg"/>
    <n v="84.87"/>
    <n v="5.59"/>
    <s v="Hosteller"/>
    <n v="58.32"/>
    <x v="22"/>
  </r>
  <r>
    <n v="17"/>
    <x v="1"/>
    <n v="2.63"/>
    <n v="8.02"/>
    <n v="4.3099999999999996"/>
    <n v="0"/>
    <s v="Non-Veg"/>
    <n v="74.52"/>
    <n v="1.23"/>
    <s v="Day Scholar"/>
    <n v="74"/>
    <x v="23"/>
  </r>
  <r>
    <n v="19"/>
    <x v="0"/>
    <n v="4.6500000000000004"/>
    <n v="8.14"/>
    <n v="4.9400000000000004"/>
    <n v="3.64"/>
    <s v="Veg"/>
    <n v="78.989999999999995"/>
    <n v="3.05"/>
    <s v="Day Scholar"/>
    <n v="72.27"/>
    <x v="24"/>
  </r>
  <r>
    <n v="23"/>
    <x v="1"/>
    <n v="5.34"/>
    <n v="6.78"/>
    <n v="4.26"/>
    <n v="13.15"/>
    <s v="Veg"/>
    <n v="93.12"/>
    <n v="6.36"/>
    <s v="Day Scholar"/>
    <n v="72.349999999999994"/>
    <x v="25"/>
  </r>
  <r>
    <n v="20"/>
    <x v="0"/>
    <n v="4.88"/>
    <n v="6.57"/>
    <n v="4.68"/>
    <n v="1.96"/>
    <s v="Veg"/>
    <n v="79.209999999999994"/>
    <n v="5.38"/>
    <s v="Day Scholar"/>
    <n v="77.31"/>
    <x v="26"/>
  </r>
  <r>
    <n v="25"/>
    <x v="4"/>
    <n v="5.0199999999999996"/>
    <n v="4.91"/>
    <n v="5.81"/>
    <n v="10.32"/>
    <s v="Veg"/>
    <n v="92.5"/>
    <n v="9.66"/>
    <s v="Day Scholar"/>
    <n v="48.89"/>
    <x v="27"/>
  </r>
  <r>
    <n v="19"/>
    <x v="1"/>
    <n v="3.63"/>
    <n v="5.77"/>
    <n v="7.48"/>
    <n v="2.42"/>
    <s v="Veg"/>
    <n v="76.739999999999995"/>
    <n v="2.85"/>
    <s v="Day Scholar"/>
    <n v="68.37"/>
    <x v="28"/>
  </r>
  <r>
    <n v="21"/>
    <x v="4"/>
    <n v="2.31"/>
    <n v="7.41"/>
    <n v="7.62"/>
    <n v="11.34"/>
    <s v="Non-Veg"/>
    <n v="66.16"/>
    <n v="2.21"/>
    <s v="Hosteller"/>
    <n v="67.84"/>
    <x v="29"/>
  </r>
  <r>
    <n v="19"/>
    <x v="5"/>
    <n v="3.33"/>
    <n v="5.83"/>
    <n v="6.52"/>
    <n v="5.34"/>
    <s v="Non-Veg"/>
    <n v="77.59"/>
    <n v="4.05"/>
    <s v="Day Scholar"/>
    <n v="60.54"/>
    <x v="30"/>
  </r>
  <r>
    <n v="23"/>
    <x v="5"/>
    <n v="3.12"/>
    <n v="4.75"/>
    <n v="2.48"/>
    <n v="5.1100000000000003"/>
    <s v="Non-Veg"/>
    <n v="70.84"/>
    <n v="4.41"/>
    <s v="Hosteller"/>
    <n v="72.39"/>
    <x v="31"/>
  </r>
  <r>
    <n v="21"/>
    <x v="3"/>
    <n v="3.88"/>
    <n v="10"/>
    <n v="4.28"/>
    <n v="7.3"/>
    <s v="Non-Veg"/>
    <n v="79.569999999999993"/>
    <n v="1"/>
    <s v="Hosteller"/>
    <n v="85.41"/>
    <x v="21"/>
  </r>
  <r>
    <n v="25"/>
    <x v="1"/>
    <n v="5.64"/>
    <n v="4.74"/>
    <n v="4.45"/>
    <n v="0"/>
    <s v="Veg"/>
    <n v="85.31"/>
    <n v="7.79"/>
    <s v="Hosteller"/>
    <n v="62.19"/>
    <x v="32"/>
  </r>
  <r>
    <n v="23"/>
    <x v="4"/>
    <n v="2.0299999999999998"/>
    <n v="9.2100000000000009"/>
    <n v="3.69"/>
    <n v="12.44"/>
    <s v="Veg"/>
    <n v="74.89"/>
    <n v="1"/>
    <s v="Hosteller"/>
    <n v="62.84"/>
    <x v="11"/>
  </r>
  <r>
    <n v="18"/>
    <x v="0"/>
    <n v="4.22"/>
    <n v="6.13"/>
    <n v="5.68"/>
    <n v="14.3"/>
    <s v="Veg"/>
    <n v="81.77"/>
    <n v="5.18"/>
    <s v="Day Scholar"/>
    <n v="68.150000000000006"/>
    <x v="33"/>
  </r>
  <r>
    <n v="20"/>
    <x v="5"/>
    <n v="2.4"/>
    <n v="6.4"/>
    <n v="1.81"/>
    <n v="4.9800000000000004"/>
    <s v="Non-Veg"/>
    <n v="66.08"/>
    <n v="2.31"/>
    <s v="Day Scholar"/>
    <n v="72.98"/>
    <x v="34"/>
  </r>
  <r>
    <n v="25"/>
    <x v="5"/>
    <n v="2.89"/>
    <n v="5.69"/>
    <n v="8.39"/>
    <n v="9.94"/>
    <s v="Veg"/>
    <n v="71.459999999999994"/>
    <n v="4.53"/>
    <s v="Day Scholar"/>
    <n v="58.05"/>
    <x v="35"/>
  </r>
  <r>
    <n v="18"/>
    <x v="0"/>
    <n v="4.84"/>
    <n v="7.44"/>
    <n v="7.39"/>
    <n v="11.36"/>
    <s v="Non-Veg"/>
    <n v="87.72"/>
    <n v="4.17"/>
    <s v="Hosteller"/>
    <n v="78.25"/>
    <x v="36"/>
  </r>
  <r>
    <n v="25"/>
    <x v="4"/>
    <n v="2.2200000000000002"/>
    <n v="4.7699999999999996"/>
    <n v="5.96"/>
    <n v="6.49"/>
    <s v="Veg"/>
    <n v="77.510000000000005"/>
    <n v="3.32"/>
    <s v="Day Scholar"/>
    <n v="65.75"/>
    <x v="37"/>
  </r>
  <r>
    <n v="21"/>
    <x v="4"/>
    <n v="5.0999999999999996"/>
    <n v="4.29"/>
    <n v="4.88"/>
    <n v="0.79"/>
    <s v="Non-Veg"/>
    <n v="85.28"/>
    <n v="7.56"/>
    <s v="Day Scholar"/>
    <n v="60.34"/>
    <x v="38"/>
  </r>
  <r>
    <n v="18"/>
    <x v="1"/>
    <n v="1.97"/>
    <n v="8.43"/>
    <n v="7.46"/>
    <n v="15.93"/>
    <s v="Non-Veg"/>
    <n v="64.64"/>
    <n v="1"/>
    <s v="Day Scholar"/>
    <n v="63.35"/>
    <x v="39"/>
  </r>
  <r>
    <n v="20"/>
    <x v="1"/>
    <n v="5"/>
    <n v="5.54"/>
    <n v="6.38"/>
    <n v="4.8"/>
    <s v="Veg"/>
    <n v="90.27"/>
    <n v="6.54"/>
    <s v="Day Scholar"/>
    <n v="75.42"/>
    <x v="40"/>
  </r>
  <r>
    <n v="23"/>
    <x v="2"/>
    <n v="1.68"/>
    <n v="7.4"/>
    <n v="7.21"/>
    <n v="3.59"/>
    <s v="Veg"/>
    <n v="71.88"/>
    <n v="1.61"/>
    <s v="Day Scholar"/>
    <n v="69.58"/>
    <x v="41"/>
  </r>
  <r>
    <n v="24"/>
    <x v="2"/>
    <n v="3.07"/>
    <n v="5.2"/>
    <n v="4.88"/>
    <n v="16.18"/>
    <s v="Non-Veg"/>
    <n v="81.900000000000006"/>
    <n v="4.3499999999999996"/>
    <s v="Day Scholar"/>
    <n v="52.62"/>
    <x v="42"/>
  </r>
  <r>
    <n v="19"/>
    <x v="3"/>
    <n v="6.84"/>
    <n v="7.35"/>
    <n v="8.58"/>
    <n v="10.42"/>
    <s v="Veg"/>
    <n v="95.67"/>
    <n v="6.81"/>
    <s v="Hosteller"/>
    <n v="76.47"/>
    <x v="43"/>
  </r>
  <r>
    <n v="17"/>
    <x v="5"/>
    <n v="6.56"/>
    <n v="8.52"/>
    <n v="7.33"/>
    <n v="8.44"/>
    <s v="Veg"/>
    <n v="90.21"/>
    <n v="5.16"/>
    <s v="Hosteller"/>
    <n v="77.59"/>
    <x v="44"/>
  </r>
  <r>
    <n v="20"/>
    <x v="1"/>
    <n v="3.38"/>
    <n v="5.87"/>
    <n v="6.02"/>
    <n v="1.56"/>
    <s v="Non-Veg"/>
    <n v="79.489999999999995"/>
    <n v="4.6399999999999997"/>
    <s v="Day Scholar"/>
    <n v="70.989999999999995"/>
    <x v="45"/>
  </r>
  <r>
    <n v="18"/>
    <x v="4"/>
    <n v="4.58"/>
    <n v="4.18"/>
    <n v="7.51"/>
    <n v="11.5"/>
    <s v="Veg"/>
    <n v="84.56"/>
    <n v="7.44"/>
    <s v="Hosteller"/>
    <n v="65.959999999999994"/>
    <x v="46"/>
  </r>
  <r>
    <n v="24"/>
    <x v="0"/>
    <n v="5.81"/>
    <n v="8.5299999999999994"/>
    <n v="4.16"/>
    <n v="21"/>
    <s v="Non-Veg"/>
    <n v="86.16"/>
    <n v="6.46"/>
    <s v="Hosteller"/>
    <n v="65.81"/>
    <x v="47"/>
  </r>
  <r>
    <n v="20"/>
    <x v="4"/>
    <n v="5.0199999999999996"/>
    <n v="7.61"/>
    <n v="2.66"/>
    <n v="11.93"/>
    <s v="Non-Veg"/>
    <n v="86.1"/>
    <n v="5.52"/>
    <s v="Day Scholar"/>
    <n v="56.34"/>
    <x v="48"/>
  </r>
  <r>
    <n v="18"/>
    <x v="5"/>
    <n v="3.59"/>
    <n v="5.93"/>
    <n v="5.64"/>
    <n v="9.7799999999999994"/>
    <s v="Veg"/>
    <n v="76.97"/>
    <n v="4.95"/>
    <s v="Hosteller"/>
    <n v="49.65"/>
    <x v="49"/>
  </r>
  <r>
    <n v="22"/>
    <x v="2"/>
    <n v="2.88"/>
    <n v="6.24"/>
    <n v="4.8899999999999997"/>
    <n v="11.04"/>
    <s v="Veg"/>
    <n v="78.099999999999994"/>
    <n v="2.84"/>
    <s v="Day Scholar"/>
    <n v="65.11"/>
    <x v="50"/>
  </r>
  <r>
    <n v="22"/>
    <x v="4"/>
    <n v="5.3"/>
    <n v="5.17"/>
    <n v="4.5999999999999996"/>
    <n v="5.16"/>
    <s v="Veg"/>
    <n v="88.97"/>
    <n v="6.84"/>
    <s v="Hosteller"/>
    <n v="69.78"/>
    <x v="29"/>
  </r>
  <r>
    <n v="20"/>
    <x v="3"/>
    <n v="5.7"/>
    <n v="8.1999999999999993"/>
    <n v="7.43"/>
    <n v="5.1100000000000003"/>
    <s v="Non-Veg"/>
    <n v="83.22"/>
    <n v="6.11"/>
    <s v="Day Scholar"/>
    <n v="65.540000000000006"/>
    <x v="51"/>
  </r>
  <r>
    <n v="22"/>
    <x v="5"/>
    <n v="6.57"/>
    <n v="5.86"/>
    <n v="5.33"/>
    <n v="5.04"/>
    <s v="Veg"/>
    <n v="87.11"/>
    <n v="7.15"/>
    <s v="Hosteller"/>
    <n v="52.34"/>
    <x v="22"/>
  </r>
  <r>
    <n v="18"/>
    <x v="2"/>
    <n v="1.47"/>
    <n v="4.8"/>
    <n v="5.53"/>
    <n v="3.78"/>
    <s v="Non-Veg"/>
    <n v="66.900000000000006"/>
    <n v="3.51"/>
    <s v="Hosteller"/>
    <n v="56.7"/>
    <x v="52"/>
  </r>
  <r>
    <n v="18"/>
    <x v="0"/>
    <n v="2.12"/>
    <n v="6.76"/>
    <n v="4.3499999999999996"/>
    <n v="5.03"/>
    <s v="Veg"/>
    <n v="70.77"/>
    <n v="2.14"/>
    <s v="Hosteller"/>
    <n v="55.1"/>
    <x v="53"/>
  </r>
  <r>
    <n v="20"/>
    <x v="2"/>
    <n v="5.74"/>
    <n v="5.47"/>
    <n v="6.76"/>
    <n v="5"/>
    <s v="Veg"/>
    <n v="92.52"/>
    <n v="7.64"/>
    <s v="Hosteller"/>
    <n v="71.52"/>
    <x v="54"/>
  </r>
  <r>
    <n v="24"/>
    <x v="3"/>
    <n v="1.67"/>
    <n v="5.26"/>
    <n v="6.4"/>
    <n v="5.63"/>
    <s v="Veg"/>
    <n v="70.930000000000007"/>
    <n v="2.97"/>
    <s v="Day Scholar"/>
    <n v="58.92"/>
    <x v="14"/>
  </r>
  <r>
    <n v="23"/>
    <x v="5"/>
    <n v="5.86"/>
    <n v="5.98"/>
    <n v="6.75"/>
    <n v="5.47"/>
    <s v="Veg"/>
    <n v="96.58"/>
    <n v="7.05"/>
    <s v="Hosteller"/>
    <n v="61.64"/>
    <x v="55"/>
  </r>
  <r>
    <n v="25"/>
    <x v="0"/>
    <n v="3.68"/>
    <n v="6.6"/>
    <n v="4.01"/>
    <n v="8.36"/>
    <s v="Veg"/>
    <n v="76.05"/>
    <n v="3.66"/>
    <s v="Day Scholar"/>
    <n v="51.32"/>
    <x v="56"/>
  </r>
  <r>
    <n v="24"/>
    <x v="3"/>
    <n v="3.22"/>
    <n v="4.84"/>
    <n v="7.61"/>
    <n v="7.44"/>
    <s v="Veg"/>
    <n v="73.47"/>
    <n v="6.69"/>
    <s v="Day Scholar"/>
    <n v="51.47"/>
    <x v="57"/>
  </r>
  <r>
    <n v="21"/>
    <x v="2"/>
    <n v="4.3099999999999996"/>
    <n v="8.16"/>
    <n v="8.68"/>
    <n v="7.94"/>
    <s v="Veg"/>
    <n v="76.739999999999995"/>
    <n v="2.46"/>
    <s v="Hosteller"/>
    <n v="72.39"/>
    <x v="58"/>
  </r>
  <r>
    <n v="18"/>
    <x v="3"/>
    <n v="1.98"/>
    <n v="7.31"/>
    <n v="6.68"/>
    <n v="15.52"/>
    <s v="Veg"/>
    <n v="73.66"/>
    <n v="2.65"/>
    <s v="Hosteller"/>
    <n v="56.8"/>
    <x v="59"/>
  </r>
  <r>
    <n v="21"/>
    <x v="5"/>
    <n v="5.24"/>
    <n v="6.06"/>
    <n v="3.38"/>
    <n v="7.43"/>
    <s v="Veg"/>
    <n v="86.29"/>
    <n v="5.59"/>
    <s v="Day Scholar"/>
    <n v="61.48"/>
    <x v="60"/>
  </r>
  <r>
    <n v="24"/>
    <x v="1"/>
    <n v="6.53"/>
    <n v="5.42"/>
    <n v="3.4"/>
    <n v="19.38"/>
    <s v="Non-Veg"/>
    <n v="83.4"/>
    <n v="7.26"/>
    <s v="Hosteller"/>
    <n v="78.88"/>
    <x v="4"/>
  </r>
  <r>
    <n v="25"/>
    <x v="3"/>
    <n v="5.31"/>
    <n v="6.39"/>
    <n v="4.25"/>
    <n v="8.98"/>
    <s v="Veg"/>
    <n v="87.54"/>
    <n v="5.21"/>
    <s v="Day Scholar"/>
    <n v="78.239999999999995"/>
    <x v="61"/>
  </r>
  <r>
    <n v="25"/>
    <x v="3"/>
    <n v="3.63"/>
    <n v="7.58"/>
    <n v="3.87"/>
    <n v="4.5"/>
    <s v="Veg"/>
    <n v="79.48"/>
    <n v="1.34"/>
    <s v="Hosteller"/>
    <n v="70.47"/>
    <x v="62"/>
  </r>
  <r>
    <n v="17"/>
    <x v="2"/>
    <n v="1.69"/>
    <n v="7.39"/>
    <n v="4.8600000000000003"/>
    <n v="14.56"/>
    <s v="Non-Veg"/>
    <n v="67.739999999999995"/>
    <n v="1.74"/>
    <s v="Day Scholar"/>
    <n v="56.63"/>
    <x v="38"/>
  </r>
  <r>
    <n v="25"/>
    <x v="2"/>
    <n v="1.75"/>
    <n v="7.77"/>
    <n v="6.26"/>
    <n v="6.55"/>
    <s v="Veg"/>
    <n v="70.239999999999995"/>
    <n v="1"/>
    <s v="Hosteller"/>
    <n v="72.16"/>
    <x v="63"/>
  </r>
  <r>
    <n v="23"/>
    <x v="0"/>
    <n v="2.0099999999999998"/>
    <n v="5.92"/>
    <n v="5.58"/>
    <n v="0"/>
    <s v="Non-Veg"/>
    <n v="63.93"/>
    <n v="2.72"/>
    <s v="Hosteller"/>
    <n v="62.29"/>
    <x v="64"/>
  </r>
  <r>
    <n v="25"/>
    <x v="2"/>
    <n v="3.98"/>
    <n v="3"/>
    <n v="5.4"/>
    <n v="6.98"/>
    <s v="Veg"/>
    <n v="88.11"/>
    <n v="8.74"/>
    <s v="Day Scholar"/>
    <n v="42.3"/>
    <x v="65"/>
  </r>
  <r>
    <n v="24"/>
    <x v="4"/>
    <n v="4.17"/>
    <n v="8"/>
    <n v="4.5199999999999996"/>
    <n v="5.6"/>
    <s v="Veg"/>
    <n v="82.75"/>
    <n v="3.9"/>
    <s v="Day Scholar"/>
    <n v="75.27"/>
    <x v="66"/>
  </r>
  <r>
    <n v="17"/>
    <x v="5"/>
    <n v="5.3"/>
    <n v="6.3"/>
    <n v="4.8499999999999996"/>
    <n v="16"/>
    <s v="Non-Veg"/>
    <n v="77.64"/>
    <n v="4.57"/>
    <s v="Day Scholar"/>
    <n v="51.34"/>
    <x v="67"/>
  </r>
  <r>
    <n v="24"/>
    <x v="5"/>
    <n v="1.31"/>
    <n v="7.3"/>
    <n v="6.59"/>
    <n v="1.97"/>
    <s v="Veg"/>
    <n v="66.5"/>
    <n v="1.32"/>
    <s v="Hosteller"/>
    <n v="56.83"/>
    <x v="68"/>
  </r>
  <r>
    <n v="24"/>
    <x v="1"/>
    <n v="5.97"/>
    <n v="8.5"/>
    <n v="1"/>
    <n v="5.14"/>
    <s v="Non-Veg"/>
    <n v="91.87"/>
    <n v="5.6"/>
    <s v="Hosteller"/>
    <n v="75.52"/>
    <x v="69"/>
  </r>
  <r>
    <n v="19"/>
    <x v="1"/>
    <n v="5.04"/>
    <n v="9.42"/>
    <n v="4.9800000000000004"/>
    <n v="14.1"/>
    <s v="Veg"/>
    <n v="79.64"/>
    <n v="1.98"/>
    <s v="Hosteller"/>
    <n v="80.3"/>
    <x v="70"/>
  </r>
  <r>
    <n v="17"/>
    <x v="5"/>
    <n v="3.51"/>
    <n v="5.72"/>
    <n v="5.58"/>
    <n v="9.2100000000000009"/>
    <s v="Non-Veg"/>
    <n v="80.22"/>
    <n v="5.3"/>
    <s v="Hosteller"/>
    <n v="61.14"/>
    <x v="71"/>
  </r>
  <r>
    <n v="24"/>
    <x v="1"/>
    <n v="2.2200000000000002"/>
    <n v="6.66"/>
    <n v="6.57"/>
    <n v="6.04"/>
    <s v="Non-Veg"/>
    <n v="79.48"/>
    <n v="1.41"/>
    <s v="Day Scholar"/>
    <n v="56.04"/>
    <x v="72"/>
  </r>
  <r>
    <n v="19"/>
    <x v="0"/>
    <n v="5.87"/>
    <n v="8.14"/>
    <n v="2.98"/>
    <n v="2.76"/>
    <s v="Veg"/>
    <n v="86.15"/>
    <n v="5.12"/>
    <s v="Day Scholar"/>
    <n v="67.91"/>
    <x v="73"/>
  </r>
  <r>
    <n v="19"/>
    <x v="2"/>
    <n v="3.55"/>
    <n v="5.49"/>
    <n v="2.87"/>
    <n v="8.9700000000000006"/>
    <s v="Non-Veg"/>
    <n v="79.89"/>
    <n v="5.19"/>
    <s v="Hosteller"/>
    <n v="59.05"/>
    <x v="74"/>
  </r>
  <r>
    <n v="17"/>
    <x v="5"/>
    <n v="3.97"/>
    <n v="5.8"/>
    <n v="6.17"/>
    <n v="6.84"/>
    <s v="Veg"/>
    <n v="80.89"/>
    <n v="5.83"/>
    <s v="Hosteller"/>
    <n v="45.94"/>
    <x v="56"/>
  </r>
  <r>
    <n v="21"/>
    <x v="1"/>
    <n v="4.58"/>
    <n v="5.79"/>
    <n v="1.19"/>
    <n v="2.7"/>
    <s v="Non-Veg"/>
    <n v="87.72"/>
    <n v="6.38"/>
    <s v="Hosteller"/>
    <n v="64.430000000000007"/>
    <x v="75"/>
  </r>
  <r>
    <n v="23"/>
    <x v="5"/>
    <n v="2.63"/>
    <n v="6.47"/>
    <n v="7.66"/>
    <n v="2.99"/>
    <s v="Veg"/>
    <n v="72.61"/>
    <n v="1.81"/>
    <s v="Day Scholar"/>
    <n v="58.45"/>
    <x v="76"/>
  </r>
  <r>
    <n v="25"/>
    <x v="4"/>
    <n v="3.58"/>
    <n v="6.24"/>
    <n v="5.45"/>
    <n v="2.44"/>
    <s v="Non-Veg"/>
    <n v="72.55"/>
    <n v="4.4800000000000004"/>
    <s v="Day Scholar"/>
    <n v="57.88"/>
    <x v="77"/>
  </r>
  <r>
    <n v="23"/>
    <x v="3"/>
    <n v="5.3"/>
    <n v="5.79"/>
    <n v="8.1199999999999992"/>
    <n v="1.44"/>
    <s v="Veg"/>
    <n v="91.01"/>
    <n v="7.96"/>
    <s v="Hosteller"/>
    <n v="60.89"/>
    <x v="78"/>
  </r>
  <r>
    <n v="25"/>
    <x v="2"/>
    <n v="5.15"/>
    <n v="5.34"/>
    <n v="2.83"/>
    <n v="12.23"/>
    <s v="Veg"/>
    <n v="80.69"/>
    <n v="4.62"/>
    <s v="Day Scholar"/>
    <n v="73.41"/>
    <x v="79"/>
  </r>
  <r>
    <n v="24"/>
    <x v="5"/>
    <n v="5.16"/>
    <n v="7.47"/>
    <n v="4.13"/>
    <n v="11.48"/>
    <s v="Non-Veg"/>
    <n v="94.84"/>
    <n v="5.65"/>
    <s v="Hosteller"/>
    <n v="82.51"/>
    <x v="80"/>
  </r>
  <r>
    <n v="18"/>
    <x v="3"/>
    <n v="2.27"/>
    <n v="8.11"/>
    <n v="1"/>
    <n v="12.24"/>
    <s v="Non-Veg"/>
    <n v="74.14"/>
    <n v="2.76"/>
    <s v="Hosteller"/>
    <n v="56.64"/>
    <x v="81"/>
  </r>
  <r>
    <n v="17"/>
    <x v="1"/>
    <n v="3.65"/>
    <n v="8.2799999999999994"/>
    <n v="3.41"/>
    <n v="7.03"/>
    <s v="Veg"/>
    <n v="75.23"/>
    <n v="1"/>
    <s v="Day Scholar"/>
    <n v="79.03"/>
    <x v="82"/>
  </r>
  <r>
    <n v="23"/>
    <x v="3"/>
    <n v="3.41"/>
    <n v="5.92"/>
    <n v="4.63"/>
    <n v="5.64"/>
    <s v="Veg"/>
    <n v="82.57"/>
    <n v="3.81"/>
    <s v="Day Scholar"/>
    <n v="64.87"/>
    <x v="83"/>
  </r>
  <r>
    <n v="23"/>
    <x v="2"/>
    <n v="4.6399999999999997"/>
    <n v="7.52"/>
    <n v="1.07"/>
    <n v="5.74"/>
    <s v="Veg"/>
    <n v="83.14"/>
    <n v="4.63"/>
    <s v="Day Scholar"/>
    <n v="63.54"/>
    <x v="84"/>
  </r>
  <r>
    <n v="24"/>
    <x v="5"/>
    <n v="4.5"/>
    <n v="6.78"/>
    <n v="4.21"/>
    <n v="12.72"/>
    <s v="Veg"/>
    <n v="81.41"/>
    <n v="3.83"/>
    <s v="Day Scholar"/>
    <n v="74.69"/>
    <x v="70"/>
  </r>
  <r>
    <n v="21"/>
    <x v="4"/>
    <n v="4.2300000000000004"/>
    <n v="5.82"/>
    <n v="1.03"/>
    <n v="0"/>
    <s v="Veg"/>
    <n v="77.760000000000005"/>
    <n v="6.78"/>
    <s v="Hosteller"/>
    <n v="59.77"/>
    <x v="85"/>
  </r>
  <r>
    <n v="19"/>
    <x v="1"/>
    <n v="7.7"/>
    <n v="7.38"/>
    <n v="4.49"/>
    <n v="4.12"/>
    <s v="Non-Veg"/>
    <n v="89.1"/>
    <n v="8.3800000000000008"/>
    <s v="Day Scholar"/>
    <n v="88.83"/>
    <x v="86"/>
  </r>
  <r>
    <n v="24"/>
    <x v="5"/>
    <n v="3.56"/>
    <n v="5.76"/>
    <n v="7.29"/>
    <n v="2.0299999999999998"/>
    <s v="Veg"/>
    <n v="80.84"/>
    <n v="3.42"/>
    <s v="Day Scholar"/>
    <n v="69.02"/>
    <x v="87"/>
  </r>
  <r>
    <n v="22"/>
    <x v="2"/>
    <n v="3.39"/>
    <n v="6.05"/>
    <n v="4.93"/>
    <n v="14.62"/>
    <s v="Non-Veg"/>
    <n v="68.8"/>
    <n v="3.6"/>
    <s v="Day Scholar"/>
    <n v="61.3"/>
    <x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446FE-1CC0-4489-BB6F-CD3617143E59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axis="axisRow" showAll="0">
      <items count="7">
        <item x="1"/>
        <item x="3"/>
        <item x="0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0">
        <item x="2"/>
        <item x="65"/>
        <item x="27"/>
        <item x="17"/>
        <item x="52"/>
        <item x="68"/>
        <item x="8"/>
        <item x="16"/>
        <item x="57"/>
        <item x="49"/>
        <item x="56"/>
        <item x="48"/>
        <item x="59"/>
        <item x="50"/>
        <item x="46"/>
        <item x="14"/>
        <item x="35"/>
        <item x="42"/>
        <item x="53"/>
        <item x="74"/>
        <item x="30"/>
        <item x="85"/>
        <item x="38"/>
        <item x="83"/>
        <item x="60"/>
        <item x="78"/>
        <item x="3"/>
        <item x="37"/>
        <item x="10"/>
        <item x="75"/>
        <item x="77"/>
        <item x="6"/>
        <item x="41"/>
        <item x="71"/>
        <item x="20"/>
        <item x="32"/>
        <item x="22"/>
        <item x="62"/>
        <item x="81"/>
        <item x="7"/>
        <item x="72"/>
        <item x="33"/>
        <item x="64"/>
        <item x="67"/>
        <item x="1"/>
        <item x="84"/>
        <item x="11"/>
        <item x="5"/>
        <item x="29"/>
        <item x="76"/>
        <item x="39"/>
        <item x="63"/>
        <item x="40"/>
        <item x="45"/>
        <item x="31"/>
        <item x="54"/>
        <item x="0"/>
        <item x="25"/>
        <item x="88"/>
        <item x="47"/>
        <item x="28"/>
        <item x="9"/>
        <item x="51"/>
        <item x="4"/>
        <item x="55"/>
        <item x="79"/>
        <item x="87"/>
        <item x="26"/>
        <item x="23"/>
        <item x="70"/>
        <item x="19"/>
        <item x="73"/>
        <item x="34"/>
        <item x="36"/>
        <item x="15"/>
        <item x="58"/>
        <item x="61"/>
        <item x="13"/>
        <item x="24"/>
        <item x="80"/>
        <item x="18"/>
        <item x="66"/>
        <item x="21"/>
        <item x="82"/>
        <item x="43"/>
        <item x="44"/>
        <item x="69"/>
        <item x="86"/>
        <item x="1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GPA" fld="11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AB777-4C91-4BFD-91EA-11695ED6C19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axis="axisRow" showAll="0">
      <items count="7">
        <item x="1"/>
        <item x="3"/>
        <item x="0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ttendance_Percentage" fld="7" subtotal="average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C2D8E-B4A6-444F-A6F5-2A8E040AF29F}" name="Students_Data" displayName="Students_Data" ref="A1:M42" totalsRowShown="0">
  <autoFilter ref="A1:M42" xr:uid="{4F4C2D8E-B4A6-444F-A6F5-2A8E040AF29F}"/>
  <sortState xmlns:xlrd2="http://schemas.microsoft.com/office/spreadsheetml/2017/richdata2" ref="A2:L42">
    <sortCondition descending="1" ref="L2:L42"/>
  </sortState>
  <tableColumns count="13">
    <tableColumn id="1" xr3:uid="{9B43A292-69B3-4B3D-8FFF-801F5F6CE42A}" name="Age"/>
    <tableColumn id="2" xr3:uid="{60E3E247-C8E1-4728-B431-5D5298FC39A3}" name="Branch"/>
    <tableColumn id="3" xr3:uid="{1C3DC59F-1930-478A-8BF6-DD6D5766BF61}" name="Study_Hours_per_Day"/>
    <tableColumn id="4" xr3:uid="{5AD02901-A7A1-4F6C-8B37-BA39EF4624C2}" name="Sleep_Hours"/>
    <tableColumn id="5" xr3:uid="{2B8A9AF2-521E-46CE-BD16-0C497ADF9032}" name="Screen_Time_Hours"/>
    <tableColumn id="6" xr3:uid="{476DE3F4-13A6-4CEE-B4BC-9BF224FD6245}" name="Gym_Hours_per_Week"/>
    <tableColumn id="7" xr3:uid="{958DC726-5467-4D4D-80E5-ABBB8638A4B8}" name="Diet_Type"/>
    <tableColumn id="8" xr3:uid="{119D1D26-87C1-40AE-BCCC-0D7D3AB5ABBB}" name="Attendance_Percentage"/>
    <tableColumn id="9" xr3:uid="{E97FB78C-EF8E-42AB-95D8-06BB87CD5FFF}" name="Stress_Level_1_to_10"/>
    <tableColumn id="10" xr3:uid="{C9C0FF7A-9D19-4566-BCF3-27757F1CBF9A}" name="Residence"/>
    <tableColumn id="11" xr3:uid="{059BD727-454C-4BE3-8B8D-FF3A609FD92C}" name="Internal_Marks"/>
    <tableColumn id="12" xr3:uid="{621245A6-39E4-4E31-8FB1-D078F2DFF29D}" name="CGPA"/>
    <tableColumn id="13" xr3:uid="{60610102-7026-424A-BBD6-DA8F8CA17672}" name="Performance " dataDxfId="18">
      <calculatedColumnFormula>IF(Students_Data[[#This Row],[CGPA]]&gt;=8,"High",IF(Students_Data[[#This Row],[CGPA]]&gt;=7,"Medium","Low"))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pl-ai-file-upload.s3.amazonaws.com/web/direct-files/attachments/84118314/082bf225-15de-4f50-95d1-fe7c3026e460/student_lifestyle_performance_dataset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5A78-A19E-4C95-B7F3-FE8116730527}">
  <dimension ref="A3:AD27"/>
  <sheetViews>
    <sheetView topLeftCell="Y4" workbookViewId="0">
      <selection activeCell="X15" sqref="X15"/>
    </sheetView>
  </sheetViews>
  <sheetFormatPr defaultRowHeight="14.4"/>
  <cols>
    <col min="1" max="1" width="12.5546875" bestFit="1" customWidth="1"/>
    <col min="2" max="2" width="15.33203125" bestFit="1" customWidth="1"/>
  </cols>
  <sheetData>
    <row r="3" spans="1:2">
      <c r="A3" s="9" t="s">
        <v>33</v>
      </c>
      <c r="B3" t="s">
        <v>35</v>
      </c>
    </row>
    <row r="4" spans="1:2">
      <c r="A4" s="10" t="s">
        <v>15</v>
      </c>
      <c r="B4" s="11">
        <v>7.7227777777777771</v>
      </c>
    </row>
    <row r="5" spans="1:2">
      <c r="A5" s="10" t="s">
        <v>19</v>
      </c>
      <c r="B5" s="11">
        <v>7.1921428571428576</v>
      </c>
    </row>
    <row r="6" spans="1:2">
      <c r="A6" s="10" t="s">
        <v>12</v>
      </c>
      <c r="B6" s="11">
        <v>7.467142857142858</v>
      </c>
    </row>
    <row r="7" spans="1:2">
      <c r="A7" s="10" t="s">
        <v>18</v>
      </c>
      <c r="B7" s="11">
        <v>6.9261111111111111</v>
      </c>
    </row>
    <row r="8" spans="1:2">
      <c r="A8" s="10" t="s">
        <v>21</v>
      </c>
      <c r="B8" s="11">
        <v>7.3380000000000027</v>
      </c>
    </row>
    <row r="9" spans="1:2">
      <c r="A9" s="10" t="s">
        <v>20</v>
      </c>
      <c r="B9" s="11">
        <v>6.8671428571428574</v>
      </c>
    </row>
    <row r="10" spans="1:2">
      <c r="A10" s="10" t="s">
        <v>34</v>
      </c>
      <c r="B10" s="11">
        <v>7.2633673469387716</v>
      </c>
    </row>
    <row r="20" spans="19:30">
      <c r="S20" s="3">
        <v>19</v>
      </c>
      <c r="T20" s="4" t="s">
        <v>18</v>
      </c>
      <c r="U20" s="4">
        <v>7.82</v>
      </c>
      <c r="V20" s="4">
        <v>7.76</v>
      </c>
      <c r="W20" s="4">
        <v>2.19</v>
      </c>
      <c r="X20" s="4">
        <v>13.13</v>
      </c>
      <c r="Y20" s="4" t="s">
        <v>16</v>
      </c>
      <c r="Z20" s="4">
        <v>100</v>
      </c>
      <c r="AA20" s="4">
        <v>5.89</v>
      </c>
      <c r="AB20" s="4" t="s">
        <v>14</v>
      </c>
      <c r="AC20" s="4">
        <v>79.260000000000005</v>
      </c>
      <c r="AD20" s="5">
        <v>9.35</v>
      </c>
    </row>
    <row r="21" spans="19:30">
      <c r="S21" s="6">
        <v>19</v>
      </c>
      <c r="T21" s="7" t="s">
        <v>15</v>
      </c>
      <c r="U21" s="7">
        <v>7.7</v>
      </c>
      <c r="V21" s="7">
        <v>7.38</v>
      </c>
      <c r="W21" s="7">
        <v>4.49</v>
      </c>
      <c r="X21" s="7">
        <v>4.12</v>
      </c>
      <c r="Y21" s="7" t="s">
        <v>13</v>
      </c>
      <c r="Z21" s="7">
        <v>89.1</v>
      </c>
      <c r="AA21" s="7">
        <v>8.3800000000000008</v>
      </c>
      <c r="AB21" s="7" t="s">
        <v>17</v>
      </c>
      <c r="AC21" s="7">
        <v>88.83</v>
      </c>
      <c r="AD21" s="8">
        <v>9.15</v>
      </c>
    </row>
    <row r="22" spans="19:30">
      <c r="S22" s="3">
        <v>24</v>
      </c>
      <c r="T22" s="4" t="s">
        <v>15</v>
      </c>
      <c r="U22" s="4">
        <v>5.97</v>
      </c>
      <c r="V22" s="4">
        <v>8.5</v>
      </c>
      <c r="W22" s="4">
        <v>1</v>
      </c>
      <c r="X22" s="4">
        <v>5.14</v>
      </c>
      <c r="Y22" s="4" t="s">
        <v>13</v>
      </c>
      <c r="Z22" s="4">
        <v>91.87</v>
      </c>
      <c r="AA22" s="4">
        <v>5.6</v>
      </c>
      <c r="AB22" s="4" t="s">
        <v>14</v>
      </c>
      <c r="AC22" s="4">
        <v>75.52</v>
      </c>
      <c r="AD22" s="5">
        <v>9.11</v>
      </c>
    </row>
    <row r="23" spans="19:30">
      <c r="S23" s="6">
        <v>17</v>
      </c>
      <c r="T23" s="7" t="s">
        <v>21</v>
      </c>
      <c r="U23" s="7">
        <v>6.56</v>
      </c>
      <c r="V23" s="7">
        <v>8.52</v>
      </c>
      <c r="W23" s="7">
        <v>7.33</v>
      </c>
      <c r="X23" s="7">
        <v>8.44</v>
      </c>
      <c r="Y23" s="7" t="s">
        <v>16</v>
      </c>
      <c r="Z23" s="7">
        <v>90.21</v>
      </c>
      <c r="AA23" s="7">
        <v>5.16</v>
      </c>
      <c r="AB23" s="7" t="s">
        <v>14</v>
      </c>
      <c r="AC23" s="7">
        <v>77.59</v>
      </c>
      <c r="AD23" s="8">
        <v>9.06</v>
      </c>
    </row>
    <row r="24" spans="19:30">
      <c r="S24" s="3">
        <v>19</v>
      </c>
      <c r="T24" s="4" t="s">
        <v>19</v>
      </c>
      <c r="U24" s="4">
        <v>6.84</v>
      </c>
      <c r="V24" s="4">
        <v>7.35</v>
      </c>
      <c r="W24" s="4">
        <v>8.58</v>
      </c>
      <c r="X24" s="4">
        <v>10.42</v>
      </c>
      <c r="Y24" s="4" t="s">
        <v>16</v>
      </c>
      <c r="Z24" s="4">
        <v>95.67</v>
      </c>
      <c r="AA24" s="4">
        <v>6.81</v>
      </c>
      <c r="AB24" s="4" t="s">
        <v>14</v>
      </c>
      <c r="AC24" s="4">
        <v>76.47</v>
      </c>
      <c r="AD24" s="5">
        <v>9</v>
      </c>
    </row>
    <row r="25" spans="19:30">
      <c r="S25" s="6">
        <v>17</v>
      </c>
      <c r="T25" s="7" t="s">
        <v>15</v>
      </c>
      <c r="U25" s="7">
        <v>3.65</v>
      </c>
      <c r="V25" s="7">
        <v>8.2799999999999994</v>
      </c>
      <c r="W25" s="7">
        <v>3.41</v>
      </c>
      <c r="X25" s="7">
        <v>7.03</v>
      </c>
      <c r="Y25" s="7" t="s">
        <v>16</v>
      </c>
      <c r="Z25" s="7">
        <v>75.23</v>
      </c>
      <c r="AA25" s="7">
        <v>1</v>
      </c>
      <c r="AB25" s="7" t="s">
        <v>17</v>
      </c>
      <c r="AC25" s="7">
        <v>79.03</v>
      </c>
      <c r="AD25" s="8">
        <v>8.9499999999999993</v>
      </c>
    </row>
    <row r="26" spans="19:30">
      <c r="S26" s="3">
        <v>22</v>
      </c>
      <c r="T26" s="4" t="s">
        <v>21</v>
      </c>
      <c r="U26" s="4">
        <v>4.5599999999999996</v>
      </c>
      <c r="V26" s="4">
        <v>6.92</v>
      </c>
      <c r="W26" s="4">
        <v>4.46</v>
      </c>
      <c r="X26" s="4">
        <v>3.38</v>
      </c>
      <c r="Y26" s="4" t="s">
        <v>13</v>
      </c>
      <c r="Z26" s="4">
        <v>80.94</v>
      </c>
      <c r="AA26" s="4">
        <v>4.25</v>
      </c>
      <c r="AB26" s="4" t="s">
        <v>14</v>
      </c>
      <c r="AC26" s="4">
        <v>81.55</v>
      </c>
      <c r="AD26" s="5">
        <v>8.94</v>
      </c>
    </row>
    <row r="27" spans="19:30">
      <c r="S27" s="6">
        <v>21</v>
      </c>
      <c r="T27" s="7" t="s">
        <v>19</v>
      </c>
      <c r="U27" s="7">
        <v>3.88</v>
      </c>
      <c r="V27" s="7">
        <v>10</v>
      </c>
      <c r="W27" s="7">
        <v>4.28</v>
      </c>
      <c r="X27" s="7">
        <v>7.3</v>
      </c>
      <c r="Y27" s="7" t="s">
        <v>13</v>
      </c>
      <c r="Z27" s="7">
        <v>79.569999999999993</v>
      </c>
      <c r="AA27" s="7">
        <v>1</v>
      </c>
      <c r="AB27" s="7" t="s">
        <v>14</v>
      </c>
      <c r="AC27" s="7">
        <v>85.41</v>
      </c>
      <c r="AD27" s="8">
        <v>8.94</v>
      </c>
    </row>
  </sheetData>
  <conditionalFormatting sqref="AA20:AA27">
    <cfRule type="cellIs" dxfId="20" priority="2" operator="greaterThan">
      <formula>8</formula>
    </cfRule>
  </conditionalFormatting>
  <conditionalFormatting sqref="S20:AD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8B1D-28ED-48BA-9B63-7014A8201693}">
  <dimension ref="A3:B10"/>
  <sheetViews>
    <sheetView workbookViewId="0">
      <selection activeCell="K5" sqref="K5"/>
    </sheetView>
  </sheetViews>
  <sheetFormatPr defaultRowHeight="14.4"/>
  <cols>
    <col min="1" max="1" width="12.5546875" bestFit="1" customWidth="1"/>
    <col min="2" max="2" width="31.33203125" bestFit="1" customWidth="1"/>
  </cols>
  <sheetData>
    <row r="3" spans="1:2">
      <c r="A3" s="9" t="s">
        <v>33</v>
      </c>
      <c r="B3" t="s">
        <v>36</v>
      </c>
    </row>
    <row r="4" spans="1:2">
      <c r="A4" s="10" t="s">
        <v>15</v>
      </c>
      <c r="B4" s="11">
        <v>82.459444444444443</v>
      </c>
    </row>
    <row r="5" spans="1:2">
      <c r="A5" s="10" t="s">
        <v>19</v>
      </c>
      <c r="B5" s="11">
        <v>80.924285714285702</v>
      </c>
    </row>
    <row r="6" spans="1:2">
      <c r="A6" s="10" t="s">
        <v>12</v>
      </c>
      <c r="B6" s="11">
        <v>79.073571428571427</v>
      </c>
    </row>
    <row r="7" spans="1:2">
      <c r="A7" s="10" t="s">
        <v>18</v>
      </c>
      <c r="B7" s="11">
        <v>78.669444444444451</v>
      </c>
    </row>
    <row r="8" spans="1:2">
      <c r="A8" s="10" t="s">
        <v>21</v>
      </c>
      <c r="B8" s="11">
        <v>79.741000000000014</v>
      </c>
    </row>
    <row r="9" spans="1:2">
      <c r="A9" s="10" t="s">
        <v>20</v>
      </c>
      <c r="B9" s="11">
        <v>82.128571428571448</v>
      </c>
    </row>
    <row r="10" spans="1:2">
      <c r="A10" s="10" t="s">
        <v>34</v>
      </c>
      <c r="B10" s="11">
        <v>80.458265306122442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B7F5-CD05-4947-9B30-A43E7FA57D72}">
  <dimension ref="A1:BL42"/>
  <sheetViews>
    <sheetView tabSelected="1" zoomScaleNormal="100" workbookViewId="0">
      <selection activeCell="P25" sqref="P25"/>
    </sheetView>
  </sheetViews>
  <sheetFormatPr defaultRowHeight="14.4"/>
  <cols>
    <col min="3" max="3" width="21.6640625" customWidth="1"/>
    <col min="4" max="4" width="13.33203125" customWidth="1"/>
    <col min="5" max="5" width="19.5546875" customWidth="1"/>
    <col min="6" max="6" width="22.21875" customWidth="1"/>
    <col min="7" max="7" width="11.33203125" customWidth="1"/>
    <col min="8" max="8" width="23.109375" customWidth="1"/>
    <col min="9" max="9" width="20.88671875" customWidth="1"/>
    <col min="10" max="10" width="11.33203125" customWidth="1"/>
    <col min="11" max="11" width="15.6640625" customWidth="1"/>
  </cols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</row>
    <row r="2" spans="1:64">
      <c r="A2">
        <v>19</v>
      </c>
      <c r="B2" t="s">
        <v>18</v>
      </c>
      <c r="C2">
        <v>7.82</v>
      </c>
      <c r="D2">
        <v>7.76</v>
      </c>
      <c r="E2">
        <v>2.19</v>
      </c>
      <c r="F2">
        <v>13.13</v>
      </c>
      <c r="G2" t="s">
        <v>16</v>
      </c>
      <c r="H2">
        <v>100</v>
      </c>
      <c r="I2">
        <v>5.89</v>
      </c>
      <c r="J2" t="s">
        <v>14</v>
      </c>
      <c r="K2">
        <v>79.260000000000005</v>
      </c>
      <c r="L2">
        <v>9.35</v>
      </c>
      <c r="M2" t="str">
        <f>IF(Students_Data[[#This Row],[CGPA]]&gt;=8,"High",IF(Students_Data[[#This Row],[CGPA]]&gt;=7,"Medium","Low"))</f>
        <v>High</v>
      </c>
      <c r="O2" s="1" t="s">
        <v>22</v>
      </c>
    </row>
    <row r="3" spans="1:64">
      <c r="A3">
        <v>19</v>
      </c>
      <c r="B3" t="s">
        <v>15</v>
      </c>
      <c r="C3">
        <v>7.7</v>
      </c>
      <c r="D3">
        <v>7.38</v>
      </c>
      <c r="E3">
        <v>4.49</v>
      </c>
      <c r="F3">
        <v>4.12</v>
      </c>
      <c r="G3" t="s">
        <v>13</v>
      </c>
      <c r="H3">
        <v>89.1</v>
      </c>
      <c r="I3">
        <v>8.3800000000000008</v>
      </c>
      <c r="J3" t="s">
        <v>17</v>
      </c>
      <c r="K3">
        <v>88.83</v>
      </c>
      <c r="L3">
        <v>9.15</v>
      </c>
      <c r="M3" t="str">
        <f>IF(Students_Data[[#This Row],[CGPA]]&gt;=8,"High",IF(Students_Data[[#This Row],[CGPA]]&gt;=7,"Medium","Low"))</f>
        <v>High</v>
      </c>
      <c r="O3" s="2"/>
    </row>
    <row r="4" spans="1:64">
      <c r="A4">
        <v>24</v>
      </c>
      <c r="B4" t="s">
        <v>15</v>
      </c>
      <c r="C4">
        <v>5.97</v>
      </c>
      <c r="D4">
        <v>8.5</v>
      </c>
      <c r="E4">
        <v>1</v>
      </c>
      <c r="F4">
        <v>5.14</v>
      </c>
      <c r="G4" t="s">
        <v>13</v>
      </c>
      <c r="H4">
        <v>91.87</v>
      </c>
      <c r="I4">
        <v>5.6</v>
      </c>
      <c r="J4" t="s">
        <v>14</v>
      </c>
      <c r="K4">
        <v>75.52</v>
      </c>
      <c r="L4">
        <v>9.11</v>
      </c>
      <c r="M4" t="str">
        <f>IF(Students_Data[[#This Row],[CGPA]]&gt;=8,"High",IF(Students_Data[[#This Row],[CGPA]]&gt;=7,"Medium","Low"))</f>
        <v>High</v>
      </c>
      <c r="O4" s="2" t="s">
        <v>23</v>
      </c>
    </row>
    <row r="5" spans="1:64">
      <c r="A5">
        <v>17</v>
      </c>
      <c r="B5" t="s">
        <v>21</v>
      </c>
      <c r="C5">
        <v>6.56</v>
      </c>
      <c r="D5">
        <v>8.52</v>
      </c>
      <c r="E5">
        <v>7.33</v>
      </c>
      <c r="F5">
        <v>8.44</v>
      </c>
      <c r="G5" t="s">
        <v>16</v>
      </c>
      <c r="H5">
        <v>90.21</v>
      </c>
      <c r="I5">
        <v>5.16</v>
      </c>
      <c r="J5" t="s">
        <v>14</v>
      </c>
      <c r="K5">
        <v>77.59</v>
      </c>
      <c r="L5">
        <v>9.06</v>
      </c>
      <c r="M5" t="str">
        <f>IF(Students_Data[[#This Row],[CGPA]]&gt;=8,"High",IF(Students_Data[[#This Row],[CGPA]]&gt;=7,"Medium","Low"))</f>
        <v>High</v>
      </c>
      <c r="O5" s="2"/>
    </row>
    <row r="6" spans="1:64">
      <c r="A6">
        <v>19</v>
      </c>
      <c r="B6" t="s">
        <v>19</v>
      </c>
      <c r="C6">
        <v>6.84</v>
      </c>
      <c r="D6">
        <v>7.35</v>
      </c>
      <c r="E6">
        <v>8.58</v>
      </c>
      <c r="F6">
        <v>10.42</v>
      </c>
      <c r="G6" t="s">
        <v>16</v>
      </c>
      <c r="H6">
        <v>95.67</v>
      </c>
      <c r="I6">
        <v>6.81</v>
      </c>
      <c r="J6" t="s">
        <v>14</v>
      </c>
      <c r="K6">
        <v>76.47</v>
      </c>
      <c r="L6">
        <v>9</v>
      </c>
      <c r="M6" t="str">
        <f>IF(Students_Data[[#This Row],[CGPA]]&gt;=8,"High",IF(Students_Data[[#This Row],[CGPA]]&gt;=7,"Medium","Low"))</f>
        <v>High</v>
      </c>
      <c r="O6" s="2" t="s">
        <v>24</v>
      </c>
      <c r="AE6">
        <f>AVERAGE(Students_Data[Study_Hours_per_Day])</f>
        <v>4.8539024390243899</v>
      </c>
    </row>
    <row r="7" spans="1:64">
      <c r="A7">
        <v>17</v>
      </c>
      <c r="B7" t="s">
        <v>15</v>
      </c>
      <c r="C7">
        <v>3.65</v>
      </c>
      <c r="D7">
        <v>8.2799999999999994</v>
      </c>
      <c r="E7">
        <v>3.41</v>
      </c>
      <c r="F7">
        <v>7.03</v>
      </c>
      <c r="G7" t="s">
        <v>16</v>
      </c>
      <c r="H7">
        <v>75.23</v>
      </c>
      <c r="I7">
        <v>1</v>
      </c>
      <c r="J7" t="s">
        <v>17</v>
      </c>
      <c r="K7">
        <v>79.03</v>
      </c>
      <c r="L7">
        <v>8.9499999999999993</v>
      </c>
      <c r="M7" t="str">
        <f>IF(Students_Data[[#This Row],[CGPA]]&gt;=8,"High",IF(Students_Data[[#This Row],[CGPA]]&gt;=7,"Medium","Low"))</f>
        <v>High</v>
      </c>
      <c r="O7" s="2"/>
    </row>
    <row r="8" spans="1:64">
      <c r="A8">
        <v>22</v>
      </c>
      <c r="B8" t="s">
        <v>21</v>
      </c>
      <c r="C8">
        <v>4.5599999999999996</v>
      </c>
      <c r="D8">
        <v>6.92</v>
      </c>
      <c r="E8">
        <v>4.46</v>
      </c>
      <c r="F8">
        <v>3.38</v>
      </c>
      <c r="G8" t="s">
        <v>13</v>
      </c>
      <c r="H8">
        <v>80.94</v>
      </c>
      <c r="I8">
        <v>4.25</v>
      </c>
      <c r="J8" t="s">
        <v>14</v>
      </c>
      <c r="K8">
        <v>81.55</v>
      </c>
      <c r="L8">
        <v>8.94</v>
      </c>
      <c r="M8" t="str">
        <f>IF(Students_Data[[#This Row],[CGPA]]&gt;=8,"High",IF(Students_Data[[#This Row],[CGPA]]&gt;=7,"Medium","Low"))</f>
        <v>High</v>
      </c>
      <c r="O8" s="2" t="s">
        <v>25</v>
      </c>
      <c r="AE8">
        <f>AVERAGEIF(Students_Data[Branch],"CSE",Students_Data[CGPA])</f>
        <v>8.5274999999999999</v>
      </c>
    </row>
    <row r="9" spans="1:64">
      <c r="A9">
        <v>21</v>
      </c>
      <c r="B9" t="s">
        <v>19</v>
      </c>
      <c r="C9">
        <v>3.88</v>
      </c>
      <c r="D9">
        <v>10</v>
      </c>
      <c r="E9">
        <v>4.28</v>
      </c>
      <c r="F9">
        <v>7.3</v>
      </c>
      <c r="G9" t="s">
        <v>13</v>
      </c>
      <c r="H9">
        <v>79.569999999999993</v>
      </c>
      <c r="I9">
        <v>1</v>
      </c>
      <c r="J9" t="s">
        <v>14</v>
      </c>
      <c r="K9">
        <v>85.41</v>
      </c>
      <c r="L9">
        <v>8.94</v>
      </c>
      <c r="M9" t="str">
        <f>IF(Students_Data[[#This Row],[CGPA]]&gt;=8,"High",IF(Students_Data[[#This Row],[CGPA]]&gt;=7,"Medium","Low"))</f>
        <v>High</v>
      </c>
      <c r="O9" s="2"/>
      <c r="P9" t="e" cm="1">
        <f t="array" ref="P9">VLOOKUP</f>
        <v>#NAME?</v>
      </c>
      <c r="BA9" s="3">
        <v>19</v>
      </c>
      <c r="BB9" s="4" t="s">
        <v>18</v>
      </c>
      <c r="BC9" s="4">
        <v>7.82</v>
      </c>
      <c r="BD9" s="4">
        <v>7.76</v>
      </c>
      <c r="BE9" s="4">
        <v>2.19</v>
      </c>
      <c r="BF9" s="4">
        <v>13.13</v>
      </c>
      <c r="BG9" s="4" t="s">
        <v>16</v>
      </c>
      <c r="BH9" s="4">
        <v>100</v>
      </c>
      <c r="BI9" s="4">
        <v>5.89</v>
      </c>
      <c r="BJ9" s="4" t="s">
        <v>14</v>
      </c>
      <c r="BK9" s="4">
        <v>79.260000000000005</v>
      </c>
      <c r="BL9" s="5">
        <v>9.35</v>
      </c>
    </row>
    <row r="10" spans="1:64">
      <c r="A10">
        <v>24</v>
      </c>
      <c r="B10" t="s">
        <v>20</v>
      </c>
      <c r="C10">
        <v>4.17</v>
      </c>
      <c r="D10">
        <v>8</v>
      </c>
      <c r="E10">
        <v>4.5199999999999996</v>
      </c>
      <c r="F10">
        <v>5.6</v>
      </c>
      <c r="G10" t="s">
        <v>16</v>
      </c>
      <c r="H10">
        <v>82.75</v>
      </c>
      <c r="I10">
        <v>3.9</v>
      </c>
      <c r="J10" t="s">
        <v>17</v>
      </c>
      <c r="K10">
        <v>75.27</v>
      </c>
      <c r="L10">
        <v>8.9</v>
      </c>
      <c r="M10" t="str">
        <f>IF(Students_Data[[#This Row],[CGPA]]&gt;=8,"High",IF(Students_Data[[#This Row],[CGPA]]&gt;=7,"Medium","Low"))</f>
        <v>High</v>
      </c>
      <c r="O10" s="2" t="s">
        <v>26</v>
      </c>
      <c r="AE10">
        <f>COUNTIF(Students_Data[Attendance_Percentage],"&gt;90")</f>
        <v>10</v>
      </c>
      <c r="BA10" s="6">
        <v>19</v>
      </c>
      <c r="BB10" s="7" t="s">
        <v>15</v>
      </c>
      <c r="BC10" s="7">
        <v>7.7</v>
      </c>
      <c r="BD10" s="7">
        <v>7.38</v>
      </c>
      <c r="BE10" s="7">
        <v>4.49</v>
      </c>
      <c r="BF10" s="7">
        <v>4.12</v>
      </c>
      <c r="BG10" s="7" t="s">
        <v>13</v>
      </c>
      <c r="BH10" s="7">
        <v>89.1</v>
      </c>
      <c r="BI10" s="7">
        <v>8.3800000000000008</v>
      </c>
      <c r="BJ10" s="7" t="s">
        <v>17</v>
      </c>
      <c r="BK10" s="7">
        <v>88.83</v>
      </c>
      <c r="BL10" s="8">
        <v>9.15</v>
      </c>
    </row>
    <row r="11" spans="1:64">
      <c r="A11">
        <v>18</v>
      </c>
      <c r="B11" t="s">
        <v>15</v>
      </c>
      <c r="C11">
        <v>4.26</v>
      </c>
      <c r="D11">
        <v>7.17</v>
      </c>
      <c r="E11">
        <v>3.56</v>
      </c>
      <c r="F11">
        <v>5.26</v>
      </c>
      <c r="G11" t="s">
        <v>16</v>
      </c>
      <c r="H11">
        <v>80.83</v>
      </c>
      <c r="I11">
        <v>3.98</v>
      </c>
      <c r="J11" t="s">
        <v>17</v>
      </c>
      <c r="K11">
        <v>71.3</v>
      </c>
      <c r="L11">
        <v>8.7799999999999994</v>
      </c>
      <c r="M11" t="str">
        <f>IF(Students_Data[[#This Row],[CGPA]]&gt;=8,"High",IF(Students_Data[[#This Row],[CGPA]]&gt;=7,"Medium","Low"))</f>
        <v>High</v>
      </c>
      <c r="O11" s="2"/>
      <c r="BA11" s="3">
        <v>24</v>
      </c>
      <c r="BB11" s="4" t="s">
        <v>15</v>
      </c>
      <c r="BC11" s="4">
        <v>5.97</v>
      </c>
      <c r="BD11" s="4">
        <v>8.5</v>
      </c>
      <c r="BE11" s="4">
        <v>1</v>
      </c>
      <c r="BF11" s="4">
        <v>5.14</v>
      </c>
      <c r="BG11" s="4" t="s">
        <v>13</v>
      </c>
      <c r="BH11" s="4">
        <v>91.87</v>
      </c>
      <c r="BI11" s="4">
        <v>5.6</v>
      </c>
      <c r="BJ11" s="4" t="s">
        <v>14</v>
      </c>
      <c r="BK11" s="4">
        <v>75.52</v>
      </c>
      <c r="BL11" s="5">
        <v>9.11</v>
      </c>
    </row>
    <row r="12" spans="1:64">
      <c r="A12">
        <v>24</v>
      </c>
      <c r="B12" t="s">
        <v>21</v>
      </c>
      <c r="C12">
        <v>5.16</v>
      </c>
      <c r="D12">
        <v>7.47</v>
      </c>
      <c r="E12">
        <v>4.13</v>
      </c>
      <c r="F12">
        <v>11.48</v>
      </c>
      <c r="G12" t="s">
        <v>13</v>
      </c>
      <c r="H12">
        <v>94.84</v>
      </c>
      <c r="I12">
        <v>5.65</v>
      </c>
      <c r="J12" t="s">
        <v>14</v>
      </c>
      <c r="K12">
        <v>82.51</v>
      </c>
      <c r="L12">
        <v>8.7200000000000006</v>
      </c>
      <c r="M12" t="str">
        <f>IF(Students_Data[[#This Row],[CGPA]]&gt;=8,"High",IF(Students_Data[[#This Row],[CGPA]]&gt;=7,"Medium","Low"))</f>
        <v>High</v>
      </c>
      <c r="O12" s="2" t="s">
        <v>27</v>
      </c>
      <c r="BA12" s="6">
        <v>17</v>
      </c>
      <c r="BB12" s="7" t="s">
        <v>21</v>
      </c>
      <c r="BC12" s="7">
        <v>6.56</v>
      </c>
      <c r="BD12" s="7">
        <v>8.52</v>
      </c>
      <c r="BE12" s="7">
        <v>7.33</v>
      </c>
      <c r="BF12" s="7">
        <v>8.44</v>
      </c>
      <c r="BG12" s="7" t="s">
        <v>16</v>
      </c>
      <c r="BH12" s="7">
        <v>90.21</v>
      </c>
      <c r="BI12" s="7">
        <v>5.16</v>
      </c>
      <c r="BJ12" s="7" t="s">
        <v>14</v>
      </c>
      <c r="BK12" s="7">
        <v>77.59</v>
      </c>
      <c r="BL12" s="8">
        <v>9.06</v>
      </c>
    </row>
    <row r="13" spans="1:64">
      <c r="A13">
        <v>19</v>
      </c>
      <c r="B13" t="s">
        <v>12</v>
      </c>
      <c r="C13">
        <v>4.6500000000000004</v>
      </c>
      <c r="D13">
        <v>8.14</v>
      </c>
      <c r="E13">
        <v>4.9400000000000004</v>
      </c>
      <c r="F13">
        <v>3.64</v>
      </c>
      <c r="G13" t="s">
        <v>16</v>
      </c>
      <c r="H13">
        <v>78.989999999999995</v>
      </c>
      <c r="I13">
        <v>3.05</v>
      </c>
      <c r="J13" t="s">
        <v>17</v>
      </c>
      <c r="K13">
        <v>72.27</v>
      </c>
      <c r="L13">
        <v>8.5399999999999991</v>
      </c>
      <c r="M13" t="str">
        <f>IF(Students_Data[[#This Row],[CGPA]]&gt;=8,"High",IF(Students_Data[[#This Row],[CGPA]]&gt;=7,"Medium","Low"))</f>
        <v>High</v>
      </c>
      <c r="O13" s="2"/>
      <c r="BA13" s="3">
        <v>19</v>
      </c>
      <c r="BB13" s="4" t="s">
        <v>19</v>
      </c>
      <c r="BC13" s="4">
        <v>6.84</v>
      </c>
      <c r="BD13" s="4">
        <v>7.35</v>
      </c>
      <c r="BE13" s="4">
        <v>8.58</v>
      </c>
      <c r="BF13" s="4">
        <v>10.42</v>
      </c>
      <c r="BG13" s="4" t="s">
        <v>16</v>
      </c>
      <c r="BH13" s="4">
        <v>95.67</v>
      </c>
      <c r="BI13" s="4">
        <v>6.81</v>
      </c>
      <c r="BJ13" s="4" t="s">
        <v>14</v>
      </c>
      <c r="BK13" s="4">
        <v>76.47</v>
      </c>
      <c r="BL13" s="5">
        <v>9</v>
      </c>
    </row>
    <row r="14" spans="1:64">
      <c r="A14">
        <v>22</v>
      </c>
      <c r="B14" t="s">
        <v>12</v>
      </c>
      <c r="C14">
        <v>4.62</v>
      </c>
      <c r="D14">
        <v>6.12</v>
      </c>
      <c r="E14">
        <v>4.93</v>
      </c>
      <c r="F14">
        <v>11.64</v>
      </c>
      <c r="G14" t="s">
        <v>16</v>
      </c>
      <c r="H14">
        <v>84.6</v>
      </c>
      <c r="I14">
        <v>5.7</v>
      </c>
      <c r="J14" t="s">
        <v>17</v>
      </c>
      <c r="K14">
        <v>69.06</v>
      </c>
      <c r="L14">
        <v>8.52</v>
      </c>
      <c r="M14" t="str">
        <f>IF(Students_Data[[#This Row],[CGPA]]&gt;=8,"High",IF(Students_Data[[#This Row],[CGPA]]&gt;=7,"Medium","Low"))</f>
        <v>High</v>
      </c>
      <c r="O14" s="2" t="s">
        <v>28</v>
      </c>
      <c r="BA14" s="6">
        <v>17</v>
      </c>
      <c r="BB14" s="7" t="s">
        <v>15</v>
      </c>
      <c r="BC14" s="7">
        <v>3.65</v>
      </c>
      <c r="BD14" s="7">
        <v>8.2799999999999994</v>
      </c>
      <c r="BE14" s="7">
        <v>3.41</v>
      </c>
      <c r="BF14" s="7">
        <v>7.03</v>
      </c>
      <c r="BG14" s="7" t="s">
        <v>16</v>
      </c>
      <c r="BH14" s="7">
        <v>75.23</v>
      </c>
      <c r="BI14" s="7">
        <v>1</v>
      </c>
      <c r="BJ14" s="7" t="s">
        <v>17</v>
      </c>
      <c r="BK14" s="7">
        <v>79.03</v>
      </c>
      <c r="BL14" s="8">
        <v>8.9499999999999993</v>
      </c>
    </row>
    <row r="15" spans="1:64">
      <c r="A15">
        <v>25</v>
      </c>
      <c r="B15" t="s">
        <v>19</v>
      </c>
      <c r="C15">
        <v>5.31</v>
      </c>
      <c r="D15">
        <v>6.39</v>
      </c>
      <c r="E15">
        <v>4.25</v>
      </c>
      <c r="F15">
        <v>8.98</v>
      </c>
      <c r="G15" t="s">
        <v>16</v>
      </c>
      <c r="H15">
        <v>87.54</v>
      </c>
      <c r="I15">
        <v>5.21</v>
      </c>
      <c r="J15" t="s">
        <v>17</v>
      </c>
      <c r="K15">
        <v>78.239999999999995</v>
      </c>
      <c r="L15">
        <v>8.43</v>
      </c>
      <c r="M15" t="str">
        <f>IF(Students_Data[[#This Row],[CGPA]]&gt;=8,"High",IF(Students_Data[[#This Row],[CGPA]]&gt;=7,"Medium","Low"))</f>
        <v>High</v>
      </c>
      <c r="O15" s="2"/>
      <c r="BA15" s="3">
        <v>22</v>
      </c>
      <c r="BB15" s="4" t="s">
        <v>21</v>
      </c>
      <c r="BC15" s="4">
        <v>4.5599999999999996</v>
      </c>
      <c r="BD15" s="4">
        <v>6.92</v>
      </c>
      <c r="BE15" s="4">
        <v>4.46</v>
      </c>
      <c r="BF15" s="4">
        <v>3.38</v>
      </c>
      <c r="BG15" s="4" t="s">
        <v>13</v>
      </c>
      <c r="BH15" s="4">
        <v>80.94</v>
      </c>
      <c r="BI15" s="4">
        <v>4.25</v>
      </c>
      <c r="BJ15" s="4" t="s">
        <v>14</v>
      </c>
      <c r="BK15" s="4">
        <v>81.55</v>
      </c>
      <c r="BL15" s="5">
        <v>8.94</v>
      </c>
    </row>
    <row r="16" spans="1:64">
      <c r="A16">
        <v>21</v>
      </c>
      <c r="B16" t="s">
        <v>18</v>
      </c>
      <c r="C16">
        <v>4.3099999999999996</v>
      </c>
      <c r="D16">
        <v>8.16</v>
      </c>
      <c r="E16">
        <v>8.68</v>
      </c>
      <c r="F16">
        <v>7.94</v>
      </c>
      <c r="G16" t="s">
        <v>16</v>
      </c>
      <c r="H16">
        <v>76.739999999999995</v>
      </c>
      <c r="I16">
        <v>2.46</v>
      </c>
      <c r="J16" t="s">
        <v>14</v>
      </c>
      <c r="K16">
        <v>72.39</v>
      </c>
      <c r="L16">
        <v>8.42</v>
      </c>
      <c r="M16" t="str">
        <f>IF(Students_Data[[#This Row],[CGPA]]&gt;=8,"High",IF(Students_Data[[#This Row],[CGPA]]&gt;=7,"Medium","Low"))</f>
        <v>High</v>
      </c>
      <c r="O16" s="2" t="s">
        <v>29</v>
      </c>
      <c r="BA16" s="6">
        <v>21</v>
      </c>
      <c r="BB16" s="7" t="s">
        <v>19</v>
      </c>
      <c r="BC16" s="7">
        <v>3.88</v>
      </c>
      <c r="BD16" s="7">
        <v>10</v>
      </c>
      <c r="BE16" s="7">
        <v>4.28</v>
      </c>
      <c r="BF16" s="7">
        <v>7.3</v>
      </c>
      <c r="BG16" s="7" t="s">
        <v>13</v>
      </c>
      <c r="BH16" s="7">
        <v>79.569999999999993</v>
      </c>
      <c r="BI16" s="7">
        <v>1</v>
      </c>
      <c r="BJ16" s="7" t="s">
        <v>14</v>
      </c>
      <c r="BK16" s="7">
        <v>85.41</v>
      </c>
      <c r="BL16" s="8">
        <v>8.94</v>
      </c>
    </row>
    <row r="17" spans="1:36">
      <c r="A17">
        <v>18</v>
      </c>
      <c r="B17" t="s">
        <v>20</v>
      </c>
      <c r="C17">
        <v>5.74</v>
      </c>
      <c r="D17">
        <v>7.76</v>
      </c>
      <c r="E17">
        <v>6.27</v>
      </c>
      <c r="F17">
        <v>5.17</v>
      </c>
      <c r="G17" t="s">
        <v>13</v>
      </c>
      <c r="H17">
        <v>94.98</v>
      </c>
      <c r="I17">
        <v>4.5599999999999996</v>
      </c>
      <c r="J17" t="s">
        <v>14</v>
      </c>
      <c r="K17">
        <v>70.349999999999994</v>
      </c>
      <c r="L17">
        <v>8.41</v>
      </c>
      <c r="M17" t="str">
        <f>IF(Students_Data[[#This Row],[CGPA]]&gt;=8,"High",IF(Students_Data[[#This Row],[CGPA]]&gt;=7,"Medium","Low"))</f>
        <v>High</v>
      </c>
      <c r="O17" s="2"/>
      <c r="AH17">
        <f>COUNTIFS(Students_Data[Residence],"Hosteller")</f>
        <v>19</v>
      </c>
      <c r="AJ17">
        <f>COUNTIFS(Students_Data[Residence],"Day Scholar")</f>
        <v>22</v>
      </c>
    </row>
    <row r="18" spans="1:36">
      <c r="A18">
        <v>18</v>
      </c>
      <c r="B18" t="s">
        <v>12</v>
      </c>
      <c r="C18">
        <v>4.84</v>
      </c>
      <c r="D18">
        <v>7.44</v>
      </c>
      <c r="E18">
        <v>7.39</v>
      </c>
      <c r="F18">
        <v>11.36</v>
      </c>
      <c r="G18" t="s">
        <v>13</v>
      </c>
      <c r="H18">
        <v>87.72</v>
      </c>
      <c r="I18">
        <v>4.17</v>
      </c>
      <c r="J18" t="s">
        <v>14</v>
      </c>
      <c r="K18">
        <v>78.25</v>
      </c>
      <c r="L18">
        <v>8.4</v>
      </c>
      <c r="M18" t="str">
        <f>IF(Students_Data[[#This Row],[CGPA]]&gt;=8,"High",IF(Students_Data[[#This Row],[CGPA]]&gt;=7,"Medium","Low"))</f>
        <v>High</v>
      </c>
      <c r="O18" s="2" t="s">
        <v>30</v>
      </c>
    </row>
    <row r="19" spans="1:36">
      <c r="A19">
        <v>20</v>
      </c>
      <c r="B19" t="s">
        <v>21</v>
      </c>
      <c r="C19">
        <v>2.4</v>
      </c>
      <c r="D19">
        <v>6.4</v>
      </c>
      <c r="E19">
        <v>1.81</v>
      </c>
      <c r="F19">
        <v>4.9800000000000004</v>
      </c>
      <c r="G19" t="s">
        <v>13</v>
      </c>
      <c r="H19">
        <v>66.08</v>
      </c>
      <c r="I19">
        <v>2.31</v>
      </c>
      <c r="J19" t="s">
        <v>17</v>
      </c>
      <c r="K19">
        <v>72.98</v>
      </c>
      <c r="L19">
        <v>8.1999999999999993</v>
      </c>
      <c r="M19" t="str">
        <f>IF(Students_Data[[#This Row],[CGPA]]&gt;=8,"High",IF(Students_Data[[#This Row],[CGPA]]&gt;=7,"Medium","Low"))</f>
        <v>High</v>
      </c>
      <c r="O19" s="2"/>
    </row>
    <row r="20" spans="1:36">
      <c r="A20">
        <v>19</v>
      </c>
      <c r="B20" t="s">
        <v>12</v>
      </c>
      <c r="C20">
        <v>5.87</v>
      </c>
      <c r="D20">
        <v>8.14</v>
      </c>
      <c r="E20">
        <v>2.98</v>
      </c>
      <c r="F20">
        <v>2.76</v>
      </c>
      <c r="G20" t="s">
        <v>16</v>
      </c>
      <c r="H20">
        <v>86.15</v>
      </c>
      <c r="I20">
        <v>5.12</v>
      </c>
      <c r="J20" t="s">
        <v>17</v>
      </c>
      <c r="K20">
        <v>67.91</v>
      </c>
      <c r="L20">
        <v>8.17</v>
      </c>
      <c r="M20" t="str">
        <f>IF(Students_Data[[#This Row],[CGPA]]&gt;=8,"High",IF(Students_Data[[#This Row],[CGPA]]&gt;=7,"Medium","Low"))</f>
        <v>High</v>
      </c>
      <c r="O20" s="2" t="s">
        <v>31</v>
      </c>
    </row>
    <row r="21" spans="1:36">
      <c r="A21">
        <v>21</v>
      </c>
      <c r="B21" t="s">
        <v>18</v>
      </c>
      <c r="C21">
        <v>4.4000000000000004</v>
      </c>
      <c r="D21">
        <v>7</v>
      </c>
      <c r="E21">
        <v>5.04</v>
      </c>
      <c r="F21">
        <v>3.63</v>
      </c>
      <c r="G21" t="s">
        <v>13</v>
      </c>
      <c r="H21">
        <v>88.14</v>
      </c>
      <c r="I21">
        <v>3.72</v>
      </c>
      <c r="J21" t="s">
        <v>14</v>
      </c>
      <c r="K21">
        <v>78.09</v>
      </c>
      <c r="L21">
        <v>8.16</v>
      </c>
      <c r="M21" t="str">
        <f>IF(Students_Data[[#This Row],[CGPA]]&gt;=8,"High",IF(Students_Data[[#This Row],[CGPA]]&gt;=7,"Medium","Low"))</f>
        <v>High</v>
      </c>
      <c r="O21" s="2"/>
    </row>
    <row r="22" spans="1:36">
      <c r="A22">
        <v>19</v>
      </c>
      <c r="B22" t="s">
        <v>15</v>
      </c>
      <c r="C22">
        <v>5.04</v>
      </c>
      <c r="D22">
        <v>9.42</v>
      </c>
      <c r="E22">
        <v>4.9800000000000004</v>
      </c>
      <c r="F22">
        <v>14.1</v>
      </c>
      <c r="G22" t="s">
        <v>16</v>
      </c>
      <c r="H22">
        <v>79.64</v>
      </c>
      <c r="I22">
        <v>1.98</v>
      </c>
      <c r="J22" t="s">
        <v>14</v>
      </c>
      <c r="K22">
        <v>80.3</v>
      </c>
      <c r="L22">
        <v>8.14</v>
      </c>
      <c r="M22" t="str">
        <f>IF(Students_Data[[#This Row],[CGPA]]&gt;=8,"High",IF(Students_Data[[#This Row],[CGPA]]&gt;=7,"Medium","Low"))</f>
        <v>High</v>
      </c>
      <c r="O22" s="2" t="s">
        <v>32</v>
      </c>
    </row>
    <row r="23" spans="1:36">
      <c r="A23">
        <v>24</v>
      </c>
      <c r="B23" t="s">
        <v>21</v>
      </c>
      <c r="C23">
        <v>4.5</v>
      </c>
      <c r="D23">
        <v>6.78</v>
      </c>
      <c r="E23">
        <v>4.21</v>
      </c>
      <c r="F23">
        <v>12.72</v>
      </c>
      <c r="G23" t="s">
        <v>16</v>
      </c>
      <c r="H23">
        <v>81.41</v>
      </c>
      <c r="I23">
        <v>3.83</v>
      </c>
      <c r="J23" t="s">
        <v>17</v>
      </c>
      <c r="K23">
        <v>74.69</v>
      </c>
      <c r="L23">
        <v>8.14</v>
      </c>
      <c r="M23" t="str">
        <f>IF(Students_Data[[#This Row],[CGPA]]&gt;=8,"High",IF(Students_Data[[#This Row],[CGPA]]&gt;=7,"Medium","Low"))</f>
        <v>High</v>
      </c>
    </row>
    <row r="24" spans="1:36">
      <c r="A24">
        <v>17</v>
      </c>
      <c r="B24" t="s">
        <v>15</v>
      </c>
      <c r="C24">
        <v>2.63</v>
      </c>
      <c r="D24">
        <v>8.02</v>
      </c>
      <c r="E24">
        <v>4.3099999999999996</v>
      </c>
      <c r="F24">
        <v>0</v>
      </c>
      <c r="G24" t="s">
        <v>13</v>
      </c>
      <c r="H24">
        <v>74.52</v>
      </c>
      <c r="I24">
        <v>1.23</v>
      </c>
      <c r="J24" t="s">
        <v>17</v>
      </c>
      <c r="K24">
        <v>74</v>
      </c>
      <c r="L24">
        <v>8.0399999999999991</v>
      </c>
      <c r="M24" t="str">
        <f>IF(Students_Data[[#This Row],[CGPA]]&gt;=8,"High",IF(Students_Data[[#This Row],[CGPA]]&gt;=7,"Medium","Low"))</f>
        <v>High</v>
      </c>
    </row>
    <row r="25" spans="1:36">
      <c r="A25">
        <v>20</v>
      </c>
      <c r="B25" t="s">
        <v>12</v>
      </c>
      <c r="C25">
        <v>4.88</v>
      </c>
      <c r="D25">
        <v>6.57</v>
      </c>
      <c r="E25">
        <v>4.68</v>
      </c>
      <c r="F25">
        <v>1.96</v>
      </c>
      <c r="G25" t="s">
        <v>16</v>
      </c>
      <c r="H25">
        <v>79.209999999999994</v>
      </c>
      <c r="I25">
        <v>5.38</v>
      </c>
      <c r="J25" t="s">
        <v>17</v>
      </c>
      <c r="K25">
        <v>77.31</v>
      </c>
      <c r="L25">
        <v>8.0299999999999994</v>
      </c>
      <c r="M25" t="str">
        <f>IF(Students_Data[[#This Row],[CGPA]]&gt;=8,"High",IF(Students_Data[[#This Row],[CGPA]]&gt;=7,"Medium","Low"))</f>
        <v>High</v>
      </c>
    </row>
    <row r="26" spans="1:36">
      <c r="A26">
        <v>24</v>
      </c>
      <c r="B26" t="s">
        <v>21</v>
      </c>
      <c r="C26">
        <v>3.56</v>
      </c>
      <c r="D26">
        <v>5.76</v>
      </c>
      <c r="E26">
        <v>7.29</v>
      </c>
      <c r="F26">
        <v>2.0299999999999998</v>
      </c>
      <c r="G26" t="s">
        <v>16</v>
      </c>
      <c r="H26">
        <v>80.84</v>
      </c>
      <c r="I26">
        <v>3.42</v>
      </c>
      <c r="J26" t="s">
        <v>17</v>
      </c>
      <c r="K26">
        <v>69.02</v>
      </c>
      <c r="L26">
        <v>7.93</v>
      </c>
      <c r="M26" t="str">
        <f>IF(Students_Data[[#This Row],[CGPA]]&gt;=8,"High",IF(Students_Data[[#This Row],[CGPA]]&gt;=7,"Medium","Low"))</f>
        <v>Medium</v>
      </c>
    </row>
    <row r="27" spans="1:36">
      <c r="A27">
        <v>25</v>
      </c>
      <c r="B27" t="s">
        <v>18</v>
      </c>
      <c r="C27">
        <v>5.15</v>
      </c>
      <c r="D27">
        <v>5.34</v>
      </c>
      <c r="E27">
        <v>2.83</v>
      </c>
      <c r="F27">
        <v>12.23</v>
      </c>
      <c r="G27" t="s">
        <v>16</v>
      </c>
      <c r="H27">
        <v>80.69</v>
      </c>
      <c r="I27">
        <v>4.62</v>
      </c>
      <c r="J27" t="s">
        <v>17</v>
      </c>
      <c r="K27">
        <v>73.41</v>
      </c>
      <c r="L27">
        <v>7.9</v>
      </c>
      <c r="M27" t="str">
        <f>IF(Students_Data[[#This Row],[CGPA]]&gt;=8,"High",IF(Students_Data[[#This Row],[CGPA]]&gt;=7,"Medium","Low"))</f>
        <v>Medium</v>
      </c>
    </row>
    <row r="28" spans="1:36">
      <c r="A28">
        <v>23</v>
      </c>
      <c r="B28" t="s">
        <v>21</v>
      </c>
      <c r="C28">
        <v>5.86</v>
      </c>
      <c r="D28">
        <v>5.98</v>
      </c>
      <c r="E28">
        <v>6.75</v>
      </c>
      <c r="F28">
        <v>5.47</v>
      </c>
      <c r="G28" t="s">
        <v>16</v>
      </c>
      <c r="H28">
        <v>96.58</v>
      </c>
      <c r="I28">
        <v>7.05</v>
      </c>
      <c r="J28" t="s">
        <v>14</v>
      </c>
      <c r="K28">
        <v>61.64</v>
      </c>
      <c r="L28">
        <v>7.87</v>
      </c>
      <c r="M28" t="str">
        <f>IF(Students_Data[[#This Row],[CGPA]]&gt;=8,"High",IF(Students_Data[[#This Row],[CGPA]]&gt;=7,"Medium","Low"))</f>
        <v>Medium</v>
      </c>
    </row>
    <row r="29" spans="1:36">
      <c r="A29">
        <v>23</v>
      </c>
      <c r="B29" t="s">
        <v>15</v>
      </c>
      <c r="C29">
        <v>5.42</v>
      </c>
      <c r="D29">
        <v>6.54</v>
      </c>
      <c r="E29">
        <v>4.76</v>
      </c>
      <c r="F29">
        <v>9.93</v>
      </c>
      <c r="G29" t="s">
        <v>16</v>
      </c>
      <c r="H29">
        <v>82.63</v>
      </c>
      <c r="I29">
        <v>6.67</v>
      </c>
      <c r="J29" t="s">
        <v>17</v>
      </c>
      <c r="K29">
        <v>64.540000000000006</v>
      </c>
      <c r="L29">
        <v>7.77</v>
      </c>
      <c r="M29" t="str">
        <f>IF(Students_Data[[#This Row],[CGPA]]&gt;=8,"High",IF(Students_Data[[#This Row],[CGPA]]&gt;=7,"Medium","Low"))</f>
        <v>Medium</v>
      </c>
    </row>
    <row r="30" spans="1:36">
      <c r="A30">
        <v>24</v>
      </c>
      <c r="B30" t="s">
        <v>15</v>
      </c>
      <c r="C30">
        <v>6.53</v>
      </c>
      <c r="D30">
        <v>5.42</v>
      </c>
      <c r="E30">
        <v>3.4</v>
      </c>
      <c r="F30">
        <v>19.38</v>
      </c>
      <c r="G30" t="s">
        <v>13</v>
      </c>
      <c r="H30">
        <v>83.4</v>
      </c>
      <c r="I30">
        <v>7.26</v>
      </c>
      <c r="J30" t="s">
        <v>14</v>
      </c>
      <c r="K30">
        <v>78.88</v>
      </c>
      <c r="L30">
        <v>7.77</v>
      </c>
      <c r="M30" t="str">
        <f>IF(Students_Data[[#This Row],[CGPA]]&gt;=8,"High",IF(Students_Data[[#This Row],[CGPA]]&gt;=7,"Medium","Low"))</f>
        <v>Medium</v>
      </c>
    </row>
    <row r="31" spans="1:36">
      <c r="A31">
        <v>20</v>
      </c>
      <c r="B31" t="s">
        <v>19</v>
      </c>
      <c r="C31">
        <v>5.7</v>
      </c>
      <c r="D31">
        <v>8.1999999999999993</v>
      </c>
      <c r="E31">
        <v>7.43</v>
      </c>
      <c r="F31">
        <v>5.1100000000000003</v>
      </c>
      <c r="G31" t="s">
        <v>13</v>
      </c>
      <c r="H31">
        <v>83.22</v>
      </c>
      <c r="I31">
        <v>6.11</v>
      </c>
      <c r="J31" t="s">
        <v>17</v>
      </c>
      <c r="K31">
        <v>65.540000000000006</v>
      </c>
      <c r="L31">
        <v>7.74</v>
      </c>
      <c r="M31" t="str">
        <f>IF(Students_Data[[#This Row],[CGPA]]&gt;=8,"High",IF(Students_Data[[#This Row],[CGPA]]&gt;=7,"Medium","Low"))</f>
        <v>Medium</v>
      </c>
    </row>
    <row r="32" spans="1:36">
      <c r="A32">
        <v>20</v>
      </c>
      <c r="B32" t="s">
        <v>21</v>
      </c>
      <c r="C32">
        <v>5.73</v>
      </c>
      <c r="D32">
        <v>8.08</v>
      </c>
      <c r="E32">
        <v>9.86</v>
      </c>
      <c r="F32">
        <v>13.97</v>
      </c>
      <c r="G32" t="s">
        <v>13</v>
      </c>
      <c r="H32">
        <v>87.37</v>
      </c>
      <c r="I32">
        <v>6.06</v>
      </c>
      <c r="J32" t="s">
        <v>17</v>
      </c>
      <c r="K32">
        <v>72.569999999999993</v>
      </c>
      <c r="L32">
        <v>7.7</v>
      </c>
      <c r="M32" t="str">
        <f>IF(Students_Data[[#This Row],[CGPA]]&gt;=8,"High",IF(Students_Data[[#This Row],[CGPA]]&gt;=7,"Medium","Low"))</f>
        <v>Medium</v>
      </c>
    </row>
    <row r="33" spans="1:13">
      <c r="A33">
        <v>19</v>
      </c>
      <c r="B33" t="s">
        <v>15</v>
      </c>
      <c r="C33">
        <v>3.63</v>
      </c>
      <c r="D33">
        <v>5.77</v>
      </c>
      <c r="E33">
        <v>7.48</v>
      </c>
      <c r="F33">
        <v>2.42</v>
      </c>
      <c r="G33" t="s">
        <v>16</v>
      </c>
      <c r="H33">
        <v>76.739999999999995</v>
      </c>
      <c r="I33">
        <v>2.85</v>
      </c>
      <c r="J33" t="s">
        <v>17</v>
      </c>
      <c r="K33">
        <v>68.37</v>
      </c>
      <c r="L33">
        <v>7.64</v>
      </c>
      <c r="M33" t="str">
        <f>IF(Students_Data[[#This Row],[CGPA]]&gt;=8,"High",IF(Students_Data[[#This Row],[CGPA]]&gt;=7,"Medium","Low"))</f>
        <v>Medium</v>
      </c>
    </row>
    <row r="34" spans="1:13">
      <c r="A34">
        <v>24</v>
      </c>
      <c r="B34" t="s">
        <v>12</v>
      </c>
      <c r="C34">
        <v>5.81</v>
      </c>
      <c r="D34">
        <v>8.5299999999999994</v>
      </c>
      <c r="E34">
        <v>4.16</v>
      </c>
      <c r="F34">
        <v>21</v>
      </c>
      <c r="G34" t="s">
        <v>13</v>
      </c>
      <c r="H34">
        <v>86.16</v>
      </c>
      <c r="I34">
        <v>6.46</v>
      </c>
      <c r="J34" t="s">
        <v>14</v>
      </c>
      <c r="K34">
        <v>65.81</v>
      </c>
      <c r="L34">
        <v>7.59</v>
      </c>
      <c r="M34" t="str">
        <f>IF(Students_Data[[#This Row],[CGPA]]&gt;=8,"High",IF(Students_Data[[#This Row],[CGPA]]&gt;=7,"Medium","Low"))</f>
        <v>Medium</v>
      </c>
    </row>
    <row r="35" spans="1:13">
      <c r="A35">
        <v>22</v>
      </c>
      <c r="B35" t="s">
        <v>18</v>
      </c>
      <c r="C35">
        <v>3.39</v>
      </c>
      <c r="D35">
        <v>6.05</v>
      </c>
      <c r="E35">
        <v>4.93</v>
      </c>
      <c r="F35">
        <v>14.62</v>
      </c>
      <c r="G35" t="s">
        <v>13</v>
      </c>
      <c r="H35">
        <v>68.8</v>
      </c>
      <c r="I35">
        <v>3.6</v>
      </c>
      <c r="J35" t="s">
        <v>17</v>
      </c>
      <c r="K35">
        <v>61.3</v>
      </c>
      <c r="L35">
        <v>7.58</v>
      </c>
      <c r="M35" t="str">
        <f>IF(Students_Data[[#This Row],[CGPA]]&gt;=8,"High",IF(Students_Data[[#This Row],[CGPA]]&gt;=7,"Medium","Low"))</f>
        <v>Medium</v>
      </c>
    </row>
    <row r="36" spans="1:13">
      <c r="A36">
        <v>23</v>
      </c>
      <c r="B36" t="s">
        <v>15</v>
      </c>
      <c r="C36">
        <v>5.34</v>
      </c>
      <c r="D36">
        <v>6.78</v>
      </c>
      <c r="E36">
        <v>4.26</v>
      </c>
      <c r="F36">
        <v>13.15</v>
      </c>
      <c r="G36" t="s">
        <v>16</v>
      </c>
      <c r="H36">
        <v>93.12</v>
      </c>
      <c r="I36">
        <v>6.36</v>
      </c>
      <c r="J36" t="s">
        <v>17</v>
      </c>
      <c r="K36">
        <v>72.349999999999994</v>
      </c>
      <c r="L36">
        <v>7.53</v>
      </c>
      <c r="M36" t="str">
        <f>IF(Students_Data[[#This Row],[CGPA]]&gt;=8,"High",IF(Students_Data[[#This Row],[CGPA]]&gt;=7,"Medium","Low"))</f>
        <v>Medium</v>
      </c>
    </row>
    <row r="37" spans="1:13">
      <c r="A37">
        <v>23</v>
      </c>
      <c r="B37" t="s">
        <v>12</v>
      </c>
      <c r="C37">
        <v>4.1399999999999997</v>
      </c>
      <c r="D37">
        <v>6.84</v>
      </c>
      <c r="E37">
        <v>9.23</v>
      </c>
      <c r="F37">
        <v>2.67</v>
      </c>
      <c r="G37" t="s">
        <v>13</v>
      </c>
      <c r="H37">
        <v>81.239999999999995</v>
      </c>
      <c r="I37">
        <v>4.93</v>
      </c>
      <c r="J37" t="s">
        <v>14</v>
      </c>
      <c r="K37">
        <v>65.86</v>
      </c>
      <c r="L37">
        <v>7.52</v>
      </c>
      <c r="M37" t="str">
        <f>IF(Students_Data[[#This Row],[CGPA]]&gt;=8,"High",IF(Students_Data[[#This Row],[CGPA]]&gt;=7,"Medium","Low"))</f>
        <v>Medium</v>
      </c>
    </row>
    <row r="38" spans="1:13">
      <c r="A38">
        <v>20</v>
      </c>
      <c r="B38" t="s">
        <v>18</v>
      </c>
      <c r="C38">
        <v>5.74</v>
      </c>
      <c r="D38">
        <v>5.47</v>
      </c>
      <c r="E38">
        <v>6.76</v>
      </c>
      <c r="F38">
        <v>5</v>
      </c>
      <c r="G38" t="s">
        <v>16</v>
      </c>
      <c r="H38">
        <v>92.52</v>
      </c>
      <c r="I38">
        <v>7.64</v>
      </c>
      <c r="J38" t="s">
        <v>14</v>
      </c>
      <c r="K38">
        <v>71.52</v>
      </c>
      <c r="L38">
        <v>7.48</v>
      </c>
      <c r="M38" t="str">
        <f>IF(Students_Data[[#This Row],[CGPA]]&gt;=8,"High",IF(Students_Data[[#This Row],[CGPA]]&gt;=7,"Medium","Low"))</f>
        <v>Medium</v>
      </c>
    </row>
    <row r="39" spans="1:13">
      <c r="A39">
        <v>23</v>
      </c>
      <c r="B39" t="s">
        <v>21</v>
      </c>
      <c r="C39">
        <v>3.12</v>
      </c>
      <c r="D39">
        <v>4.75</v>
      </c>
      <c r="E39">
        <v>2.48</v>
      </c>
      <c r="F39">
        <v>5.1100000000000003</v>
      </c>
      <c r="G39" t="s">
        <v>13</v>
      </c>
      <c r="H39">
        <v>70.84</v>
      </c>
      <c r="I39">
        <v>4.41</v>
      </c>
      <c r="J39" t="s">
        <v>14</v>
      </c>
      <c r="K39">
        <v>72.39</v>
      </c>
      <c r="L39">
        <v>7.47</v>
      </c>
      <c r="M39" t="str">
        <f>IF(Students_Data[[#This Row],[CGPA]]&gt;=8,"High",IF(Students_Data[[#This Row],[CGPA]]&gt;=7,"Medium","Low"))</f>
        <v>Medium</v>
      </c>
    </row>
    <row r="40" spans="1:13">
      <c r="A40">
        <v>20</v>
      </c>
      <c r="B40" t="s">
        <v>15</v>
      </c>
      <c r="C40">
        <v>3.38</v>
      </c>
      <c r="D40">
        <v>5.87</v>
      </c>
      <c r="E40">
        <v>6.02</v>
      </c>
      <c r="F40">
        <v>1.56</v>
      </c>
      <c r="G40" t="s">
        <v>13</v>
      </c>
      <c r="H40">
        <v>79.489999999999995</v>
      </c>
      <c r="I40">
        <v>4.6399999999999997</v>
      </c>
      <c r="J40" t="s">
        <v>17</v>
      </c>
      <c r="K40">
        <v>70.989999999999995</v>
      </c>
      <c r="L40">
        <v>7.42</v>
      </c>
      <c r="M40" t="str">
        <f>IF(Students_Data[[#This Row],[CGPA]]&gt;=8,"High",IF(Students_Data[[#This Row],[CGPA]]&gt;=7,"Medium","Low"))</f>
        <v>Medium</v>
      </c>
    </row>
    <row r="41" spans="1:13">
      <c r="A41">
        <v>20</v>
      </c>
      <c r="B41" t="s">
        <v>15</v>
      </c>
      <c r="C41">
        <v>5</v>
      </c>
      <c r="D41">
        <v>5.54</v>
      </c>
      <c r="E41">
        <v>6.38</v>
      </c>
      <c r="F41">
        <v>4.8</v>
      </c>
      <c r="G41" t="s">
        <v>16</v>
      </c>
      <c r="H41">
        <v>90.27</v>
      </c>
      <c r="I41">
        <v>6.54</v>
      </c>
      <c r="J41" t="s">
        <v>17</v>
      </c>
      <c r="K41">
        <v>75.42</v>
      </c>
      <c r="L41">
        <v>7.38</v>
      </c>
      <c r="M41" t="str">
        <f>IF(Students_Data[[#This Row],[CGPA]]&gt;=8,"High",IF(Students_Data[[#This Row],[CGPA]]&gt;=7,"Medium","Low"))</f>
        <v>Medium</v>
      </c>
    </row>
    <row r="42" spans="1:13">
      <c r="A42">
        <v>25</v>
      </c>
      <c r="B42" t="s">
        <v>18</v>
      </c>
      <c r="C42">
        <v>1.75</v>
      </c>
      <c r="D42">
        <v>7.77</v>
      </c>
      <c r="E42">
        <v>6.26</v>
      </c>
      <c r="F42">
        <v>6.55</v>
      </c>
      <c r="G42" t="s">
        <v>16</v>
      </c>
      <c r="H42">
        <v>70.239999999999995</v>
      </c>
      <c r="I42">
        <v>1</v>
      </c>
      <c r="J42" t="s">
        <v>14</v>
      </c>
      <c r="K42">
        <v>72.16</v>
      </c>
      <c r="L42">
        <v>7.37</v>
      </c>
      <c r="M42" t="str">
        <f>IF(Students_Data[[#This Row],[CGPA]]&gt;=8,"High",IF(Students_Data[[#This Row],[CGPA]]&gt;=7,"Medium","Low"))</f>
        <v>Medium</v>
      </c>
    </row>
  </sheetData>
  <conditionalFormatting sqref="I2:I42">
    <cfRule type="cellIs" dxfId="8" priority="8" operator="greaterThan">
      <formula>8</formula>
    </cfRule>
  </conditionalFormatting>
  <conditionalFormatting sqref="BI9:BI16">
    <cfRule type="cellIs" dxfId="7" priority="7" operator="greaterThan">
      <formula>8</formula>
    </cfRule>
  </conditionalFormatting>
  <conditionalFormatting sqref="M2:M4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max"/>
        <color rgb="FFFF7128"/>
        <color rgb="FFFFEF9C"/>
      </colorScale>
    </cfRule>
    <cfRule type="containsText" dxfId="6" priority="2" operator="containsText" text="High">
      <formula>NOT(ISERROR(SEARCH("High",M2)))</formula>
    </cfRule>
  </conditionalFormatting>
  <conditionalFormatting sqref="M14">
    <cfRule type="containsText" dxfId="5" priority="4" operator="containsText" text="High">
      <formula>NOT(ISERROR(SEARCH("High",M14)))</formula>
    </cfRule>
  </conditionalFormatting>
  <conditionalFormatting sqref="M4">
    <cfRule type="containsText" dxfId="0" priority="1" operator="containsText" text="High">
      <formula>NOT(ISERROR(SEARCH("High",M4)))</formula>
    </cfRule>
  </conditionalFormatting>
  <hyperlinks>
    <hyperlink ref="O2" r:id="rId1" display="https://ppl-ai-file-upload.s3.amazonaws.com/web/direct-files/attachments/84118314/082bf225-15de-4f50-95d1-fe7c3026e460/student_lifestyle_performance_dataset.csv" xr:uid="{88E8EE55-1E7C-4283-B96B-0834623CDBB2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student_lifestyle_performance_d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Mahavishnu</dc:creator>
  <cp:lastModifiedBy>Maha vishnu</cp:lastModifiedBy>
  <cp:lastPrinted>2026-03-04T14:08:32Z</cp:lastPrinted>
  <dcterms:created xsi:type="dcterms:W3CDTF">2026-03-04T14:15:42Z</dcterms:created>
  <dcterms:modified xsi:type="dcterms:W3CDTF">2026-03-04T14:15:49Z</dcterms:modified>
</cp:coreProperties>
</file>